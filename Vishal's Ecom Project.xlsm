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mc:AlternateContent xmlns:mc="http://schemas.openxmlformats.org/markup-compatibility/2006">
    <mc:Choice Requires="x15">
      <x15ac:absPath xmlns:x15ac="http://schemas.microsoft.com/office/spreadsheetml/2010/11/ac" url="C:\Users\visha\Downloads\"/>
    </mc:Choice>
  </mc:AlternateContent>
  <xr:revisionPtr revIDLastSave="0" documentId="13_ncr:1_{BAC86C3E-5E75-4727-9850-FF3FF14D6CB1}" xr6:coauthVersionLast="47" xr6:coauthVersionMax="47" xr10:uidLastSave="{00000000-0000-0000-0000-000000000000}"/>
  <bookViews>
    <workbookView xWindow="-108" yWindow="-108" windowWidth="23256" windowHeight="12456" tabRatio="676" xr2:uid="{00000000-000D-0000-FFFF-FFFF00000000}"/>
  </bookViews>
  <sheets>
    <sheet name="Introduction" sheetId="1" r:id="rId1"/>
    <sheet name="Sales Data" sheetId="2" r:id="rId2"/>
    <sheet name="Dashboard" sheetId="3" r:id="rId3"/>
    <sheet name="Data Prep Sheet" sheetId="7" r:id="rId4"/>
    <sheet name="Pivot Analysis" sheetId="4" r:id="rId5"/>
    <sheet name="Optimization" sheetId="5" r:id="rId6"/>
    <sheet name="Automation Controls" sheetId="6" r:id="rId7"/>
  </sheets>
  <definedNames>
    <definedName name="_xleta.SORT" hidden="1" xlm="1">#NAME?</definedName>
    <definedName name="Slicer_Category">#N/A</definedName>
    <definedName name="solver_adj" localSheetId="5" hidden="1">Optimization!$B$3</definedName>
    <definedName name="solver_cvg" localSheetId="5" hidden="1">0.0001</definedName>
    <definedName name="solver_drv" localSheetId="5" hidden="1">1</definedName>
    <definedName name="solver_eng" localSheetId="5" hidden="1">2</definedName>
    <definedName name="solver_est" localSheetId="5" hidden="1">1</definedName>
    <definedName name="solver_itr" localSheetId="5" hidden="1">2147483647</definedName>
    <definedName name="solver_lhs1" localSheetId="5" hidden="1">Optimization!$B$3</definedName>
    <definedName name="solver_lhs2" localSheetId="5" hidden="1">Optimization!$B$3</definedName>
    <definedName name="solver_lhs3" localSheetId="5" hidden="1">Optimization!$B$3</definedName>
    <definedName name="solver_lhs4" localSheetId="5" hidden="1">Optimization!$B$10</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4</definedName>
    <definedName name="solver_nwt" localSheetId="5" hidden="1">1</definedName>
    <definedName name="solver_opt" localSheetId="5" hidden="1">Optimization!$B$7</definedName>
    <definedName name="solver_pre" localSheetId="5" hidden="1">0.000001</definedName>
    <definedName name="solver_rbv" localSheetId="5" hidden="1">1</definedName>
    <definedName name="solver_rel1" localSheetId="5" hidden="1">1</definedName>
    <definedName name="solver_rel2" localSheetId="5" hidden="1">4</definedName>
    <definedName name="solver_rel3" localSheetId="5" hidden="1">3</definedName>
    <definedName name="solver_rel4" localSheetId="5" hidden="1">3</definedName>
    <definedName name="solver_rhs1" localSheetId="5" hidden="1">Optimization!$B$8</definedName>
    <definedName name="solver_rhs2" localSheetId="5" hidden="1">"integer"</definedName>
    <definedName name="solver_rhs3" localSheetId="5" hidden="1">0</definedName>
    <definedName name="solver_rhs4" localSheetId="5" hidden="1">Optimization!$B$9</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1</definedName>
    <definedName name="solver_val" localSheetId="5" hidden="1">0</definedName>
    <definedName name="solver_ver" localSheetId="5" hidden="1">3</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7" l="1"/>
  <c r="H4" i="7"/>
  <c r="B10" i="5"/>
  <c r="B7" i="5"/>
  <c r="D3" i="7"/>
  <c r="D4" i="7"/>
  <c r="D5" i="7"/>
  <c r="D6" i="7"/>
  <c r="D7" i="7"/>
  <c r="D8" i="7"/>
  <c r="D9" i="7"/>
  <c r="D10" i="7"/>
  <c r="D11" i="7"/>
  <c r="D12" i="7"/>
  <c r="D13" i="7"/>
  <c r="D14" i="7"/>
  <c r="D15" i="7"/>
  <c r="D16" i="7"/>
  <c r="D17" i="7"/>
  <c r="D18" i="7"/>
  <c r="D19" i="7"/>
  <c r="D20" i="7"/>
  <c r="D21" i="7"/>
  <c r="D22" i="7"/>
  <c r="D23" i="7"/>
  <c r="D24" i="7"/>
  <c r="D25" i="7"/>
  <c r="D26" i="7"/>
  <c r="D2" i="7"/>
  <c r="C3" i="7"/>
  <c r="C4" i="7"/>
  <c r="C5" i="7"/>
  <c r="C6" i="7"/>
  <c r="C7" i="7"/>
  <c r="C8" i="7"/>
  <c r="C9" i="7"/>
  <c r="C10" i="7"/>
  <c r="C11" i="7"/>
  <c r="C12" i="7"/>
  <c r="C13" i="7"/>
  <c r="C14" i="7"/>
  <c r="C15" i="7"/>
  <c r="C16" i="7"/>
  <c r="C17" i="7"/>
  <c r="C18" i="7"/>
  <c r="C19" i="7"/>
  <c r="C20" i="7"/>
  <c r="C21" i="7"/>
  <c r="C22" i="7"/>
  <c r="C23" i="7"/>
  <c r="C24" i="7"/>
  <c r="C25" i="7"/>
  <c r="C26" i="7"/>
  <c r="C2" i="7"/>
  <c r="B15" i="7"/>
  <c r="B16" i="7"/>
  <c r="B17" i="7"/>
  <c r="B18" i="7"/>
  <c r="B19" i="7"/>
  <c r="B20" i="7"/>
  <c r="B21" i="7"/>
  <c r="B22" i="7"/>
  <c r="B23" i="7"/>
  <c r="B24" i="7"/>
  <c r="B25" i="7"/>
  <c r="B26" i="7"/>
  <c r="B5" i="7"/>
  <c r="B6" i="7"/>
  <c r="B7" i="7"/>
  <c r="B8" i="7"/>
  <c r="B9" i="7"/>
  <c r="B10" i="7"/>
  <c r="B11" i="7"/>
  <c r="B12" i="7"/>
  <c r="B13" i="7"/>
  <c r="B14" i="7"/>
  <c r="B3" i="7"/>
  <c r="B4" i="7"/>
  <c r="B2" i="7"/>
  <c r="A2" i="7" a="1"/>
  <c r="A2" i="7" s="1"/>
  <c r="S5" i="3" a="1"/>
  <c r="S5" i="3" s="1"/>
  <c r="R5" i="3" a="1"/>
  <c r="R5" i="3" s="1"/>
  <c r="O6" i="3"/>
  <c r="O7" i="3"/>
  <c r="O8" i="3"/>
  <c r="O9" i="3"/>
  <c r="O10" i="3"/>
  <c r="O11" i="3"/>
  <c r="O12" i="3"/>
  <c r="O13" i="3"/>
  <c r="O14" i="3"/>
  <c r="O15" i="3"/>
  <c r="O16" i="3"/>
  <c r="O17" i="3"/>
  <c r="O18" i="3"/>
  <c r="O19" i="3"/>
  <c r="O20" i="3"/>
  <c r="O21" i="3"/>
  <c r="O22" i="3"/>
  <c r="O23" i="3"/>
  <c r="O24" i="3"/>
  <c r="O25" i="3"/>
  <c r="O26" i="3"/>
  <c r="O27" i="3"/>
  <c r="O28" i="3"/>
  <c r="O29" i="3"/>
  <c r="O5" i="3"/>
  <c r="N5" i="3" a="1"/>
  <c r="N5" i="3" s="1"/>
  <c r="D4" i="3"/>
  <c r="C4" i="3"/>
  <c r="B4" i="3"/>
  <c r="H5" i="7" l="1"/>
  <c r="H6" i="7"/>
  <c r="E20" i="7"/>
  <c r="E12" i="7"/>
  <c r="E11" i="7"/>
  <c r="E24" i="7"/>
  <c r="E8" i="7"/>
  <c r="E16" i="7"/>
  <c r="E4" i="7"/>
  <c r="E19" i="7"/>
  <c r="E3" i="7"/>
  <c r="E26" i="7"/>
  <c r="E18" i="7"/>
  <c r="E10" i="7"/>
  <c r="E25" i="7"/>
  <c r="E17" i="7"/>
  <c r="E9" i="7"/>
  <c r="E6" i="7"/>
  <c r="E23" i="7"/>
  <c r="E15" i="7"/>
  <c r="E7" i="7"/>
  <c r="E22" i="7"/>
  <c r="E14" i="7"/>
  <c r="E21" i="7"/>
  <c r="E13" i="7"/>
  <c r="E5" i="7"/>
  <c r="E2" i="7"/>
  <c r="I3" i="2"/>
  <c r="I4" i="2"/>
  <c r="I5" i="2"/>
  <c r="I6" i="2"/>
  <c r="I7" i="2"/>
  <c r="I8" i="2"/>
  <c r="I9" i="2"/>
  <c r="I10" i="2"/>
  <c r="I11" i="2"/>
  <c r="I12" i="2"/>
  <c r="I13" i="2"/>
  <c r="I14" i="2"/>
  <c r="I15" i="2"/>
  <c r="I16" i="2"/>
  <c r="I17" i="2"/>
  <c r="I18" i="2"/>
  <c r="I19" i="2"/>
  <c r="I20" i="2"/>
  <c r="I21" i="2"/>
  <c r="I22" i="2"/>
  <c r="I23" i="2"/>
  <c r="I24" i="2"/>
  <c r="I25" i="2"/>
  <c r="I26" i="2"/>
  <c r="I2" i="2"/>
  <c r="H3" i="2"/>
  <c r="H4" i="2"/>
  <c r="H5" i="2"/>
  <c r="H6" i="2"/>
  <c r="H7" i="2"/>
  <c r="H8" i="2"/>
  <c r="H9" i="2"/>
  <c r="H10" i="2"/>
  <c r="H11" i="2"/>
  <c r="H12" i="2"/>
  <c r="H13" i="2"/>
  <c r="H14" i="2"/>
  <c r="H15" i="2"/>
  <c r="H16" i="2"/>
  <c r="H17" i="2"/>
  <c r="H18" i="2"/>
  <c r="H19" i="2"/>
  <c r="H20" i="2"/>
  <c r="H21" i="2"/>
  <c r="H22" i="2"/>
  <c r="H23" i="2"/>
  <c r="H24" i="2"/>
  <c r="H25" i="2"/>
  <c r="H26" i="2"/>
  <c r="H2" i="2"/>
  <c r="B6" i="1"/>
  <c r="H3" i="7"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<sst xmlns="http://schemas.openxmlformats.org/spreadsheetml/2006/main" count="190" uniqueCount="101">
  <si>
    <t>Student</t>
  </si>
  <si>
    <t>Course</t>
  </si>
  <si>
    <t>Instructor</t>
  </si>
  <si>
    <t>Date</t>
  </si>
  <si>
    <t>Topic</t>
  </si>
  <si>
    <t xml:space="preserve">Vishal Vaid  </t>
  </si>
  <si>
    <t>Excel for Business Analytics</t>
  </si>
  <si>
    <t xml:space="preserve">Westin </t>
  </si>
  <si>
    <t>Home &amp; Kitchen E-Commerce Sales Optimization</t>
  </si>
  <si>
    <t>Skills Checklist Table</t>
  </si>
  <si>
    <t>Advanced Charts</t>
  </si>
  <si>
    <t>Dynamic Arrays</t>
  </si>
  <si>
    <t>Pivot Tables &amp; Slicers</t>
  </si>
  <si>
    <t>XLOOKUP / XMATCH</t>
  </si>
  <si>
    <t>COUNTIFS, IF, Nested IF</t>
  </si>
  <si>
    <t>Goal Seek &amp; Solver</t>
  </si>
  <si>
    <t>Macros &amp; Buttons</t>
  </si>
  <si>
    <t>Message Boxes &amp; VBA Logic</t>
  </si>
  <si>
    <t>Dashboard &amp; Pivot Sheet</t>
  </si>
  <si>
    <t>KPI Section</t>
  </si>
  <si>
    <t>Pivot Analysis Sheet</t>
  </si>
  <si>
    <t>Data Prep</t>
  </si>
  <si>
    <t>KPI Alerts Area</t>
  </si>
  <si>
    <t>Optimization Sheet</t>
  </si>
  <si>
    <t>Automation Controls</t>
  </si>
  <si>
    <t>Inventory Alert Macro</t>
  </si>
  <si>
    <r>
      <rPr>
        <b/>
        <u/>
        <sz val="13"/>
        <color theme="0"/>
        <rFont val="Calibri"/>
        <family val="2"/>
        <scheme val="minor"/>
      </rPr>
      <t>Project Summary</t>
    </r>
    <r>
      <rPr>
        <sz val="11"/>
        <color theme="0"/>
        <rFont val="Calibri"/>
        <family val="2"/>
        <scheme val="minor"/>
      </rPr>
      <t xml:space="preserve">
</t>
    </r>
    <r>
      <rPr>
        <sz val="12"/>
        <color theme="0"/>
        <rFont val="Calibri"/>
        <family val="2"/>
        <scheme val="minor"/>
      </rPr>
      <t>This interactive dashboard analyzes key performance metrics for an e-commerce business selling home and kitchen products across multiple regions. It includes automated reporting, optimization using Solver, and real-time KPI insights powered by advanced Excel functions.</t>
    </r>
  </si>
  <si>
    <t>Order ID</t>
  </si>
  <si>
    <t>Product</t>
  </si>
  <si>
    <t xml:space="preserve">Category </t>
  </si>
  <si>
    <t xml:space="preserve">Region </t>
  </si>
  <si>
    <t>Units Sold</t>
  </si>
  <si>
    <t>Unit Price</t>
  </si>
  <si>
    <t>Cost per Unit</t>
  </si>
  <si>
    <t xml:space="preserve">Revenue </t>
  </si>
  <si>
    <t>Profit</t>
  </si>
  <si>
    <t>Silicone Spatula</t>
  </si>
  <si>
    <t>Set</t>
  </si>
  <si>
    <t>North</t>
  </si>
  <si>
    <t>Glass Storage Jars</t>
  </si>
  <si>
    <t>Kitchen</t>
  </si>
  <si>
    <t>West</t>
  </si>
  <si>
    <t>Cleaning</t>
  </si>
  <si>
    <t>South</t>
  </si>
  <si>
    <t>Microfiber Towels</t>
  </si>
  <si>
    <t>Stainless Steel Knife</t>
  </si>
  <si>
    <t>Cutlery</t>
  </si>
  <si>
    <t>East</t>
  </si>
  <si>
    <t>Cutting Board</t>
  </si>
  <si>
    <t>Measuring Cups</t>
  </si>
  <si>
    <t>Oven Mitts</t>
  </si>
  <si>
    <t>Water Bottle</t>
  </si>
  <si>
    <t>Drinkware</t>
  </si>
  <si>
    <t>Food Storage Bags</t>
  </si>
  <si>
    <t>Bamboo Spatula</t>
  </si>
  <si>
    <t>Kitchen Tongs</t>
  </si>
  <si>
    <t>Pizza Cutter</t>
  </si>
  <si>
    <t>Chef Knife</t>
  </si>
  <si>
    <t>Peeler</t>
  </si>
  <si>
    <t>Serving Tray</t>
  </si>
  <si>
    <t>Home</t>
  </si>
  <si>
    <t>Table Coasters</t>
  </si>
  <si>
    <t>Tea Kettle</t>
  </si>
  <si>
    <t>Trash Bags</t>
  </si>
  <si>
    <t>Soap Dispenser</t>
  </si>
  <si>
    <t>Spice Rack</t>
  </si>
  <si>
    <t>Mason Jars</t>
  </si>
  <si>
    <t>Steel Strainer</t>
  </si>
  <si>
    <t>Salt &amp; Pepper Grinder</t>
  </si>
  <si>
    <t>Cereal Storage Container</t>
  </si>
  <si>
    <t>Cloth Napkins</t>
  </si>
  <si>
    <t>Sales Performance Dashboard — Home &amp; Kitchen</t>
  </si>
  <si>
    <t>Total Revenue</t>
  </si>
  <si>
    <t>Total Profit</t>
  </si>
  <si>
    <t>KPI</t>
  </si>
  <si>
    <t>Row Labels</t>
  </si>
  <si>
    <t xml:space="preserve">Sum of Revenue </t>
  </si>
  <si>
    <t>(Multiple Items)</t>
  </si>
  <si>
    <t>Use the slicer to filter performance by category.</t>
  </si>
  <si>
    <t>Sales Performance Dashboard — Home &amp; Kitchen Category</t>
  </si>
  <si>
    <t>Category</t>
  </si>
  <si>
    <t>Reorder Level</t>
  </si>
  <si>
    <t>Current Stock</t>
  </si>
  <si>
    <t>Status</t>
  </si>
  <si>
    <t>KPI Dashboard</t>
  </si>
  <si>
    <t>Total Products</t>
  </si>
  <si>
    <t>Need Reorder</t>
  </si>
  <si>
    <t>% Low Stock</t>
  </si>
  <si>
    <t>Avg Current Stock</t>
  </si>
  <si>
    <t>Avg Reorder Level</t>
  </si>
  <si>
    <t>Units to Sell</t>
  </si>
  <si>
    <t>Price per Unit</t>
  </si>
  <si>
    <t>Target Profit</t>
  </si>
  <si>
    <t>Production Capacity</t>
  </si>
  <si>
    <t>Min Revenue Required</t>
  </si>
  <si>
    <t>Revenue</t>
  </si>
  <si>
    <t>This Part use Goal seek and Solver</t>
  </si>
  <si>
    <t>Formatted Report</t>
  </si>
  <si>
    <t>Inventory Alerts</t>
  </si>
  <si>
    <t xml:space="preserve">This Sheet has PIVOT tables </t>
  </si>
  <si>
    <t>E-Commerce Performance Dashboard &amp; Automation Excel Project — Fall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</si>
</sst>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20" x14ac:knownFonts="1">
    <font>
      <sz val="11"/>
      <color theme="1"/>
      <name val="Calibri"/>
      <family val="2"/>
      <scheme val="minor"/>
    </font>
    <font>
      <b/>
      <sz val="15"/>
      <color theme="3"/>
      <name val="Calibri"/>
      <family val="2"/>
      <scheme val="minor"/>
    </font>
    <font>
      <b/>
      <sz val="13"/>
      <color theme="3"/>
      <name val="Calibri"/>
      <family val="2"/>
      <scheme val="minor"/>
    </font>
    <font>
      <sz val="11"/>
      <color theme="0"/>
      <name val="Calibri"/>
      <family val="2"/>
      <scheme val="minor"/>
    </font>
    <font>
      <b/>
      <sz val="28"/>
      <color theme="0"/>
      <name val="Calibri"/>
      <family val="2"/>
      <scheme val="minor"/>
    </font>
    <font>
      <sz val="14"/>
      <color theme="0"/>
      <name val="Calibri"/>
      <family val="2"/>
      <scheme val="minor"/>
    </font>
    <font>
      <sz val="12"/>
      <color theme="0"/>
      <name val="Calibri"/>
      <family val="2"/>
      <scheme val="minor"/>
    </font>
    <font>
      <b/>
      <u/>
      <sz val="13"/>
      <color theme="0"/>
      <name val="Calibri"/>
      <family val="2"/>
      <scheme val="minor"/>
    </font>
    <font>
      <b/>
      <sz val="28"/>
      <color theme="1" tint="4.9989318521683403E-2"/>
      <name val="Calibri"/>
      <family val="2"/>
      <scheme val="minor"/>
    </font>
    <font>
      <b/>
      <sz val="14"/>
      <color theme="0"/>
      <name val="Calibri"/>
      <family val="2"/>
      <scheme val="minor"/>
    </font>
    <font>
      <sz val="11"/>
      <color rgb="FF000000"/>
      <name val="Calibri"/>
      <family val="2"/>
    </font>
    <font>
      <sz val="11"/>
      <color theme="1"/>
      <name val="Calibri"/>
      <family val="2"/>
      <scheme val="minor"/>
    </font>
    <font>
      <b/>
      <sz val="11"/>
      <color theme="3"/>
      <name val="Calibri"/>
      <family val="2"/>
      <scheme val="minor"/>
    </font>
    <font>
      <b/>
      <sz val="11"/>
      <color theme="0"/>
      <name val="Calibri"/>
      <family val="2"/>
      <scheme val="minor"/>
    </font>
    <font>
      <b/>
      <sz val="13"/>
      <color theme="0"/>
      <name val="Calibri"/>
      <family val="2"/>
      <scheme val="minor"/>
    </font>
    <font>
      <b/>
      <sz val="11"/>
      <color theme="1"/>
      <name val="Calibri"/>
      <family val="2"/>
      <scheme val="minor"/>
    </font>
    <font>
      <b/>
      <sz val="15"/>
      <color theme="1"/>
      <name val="Calibri"/>
      <family val="2"/>
      <scheme val="minor"/>
    </font>
    <font>
      <sz val="11"/>
      <color rgb="FFFFFFFF"/>
      <name val="Calibri"/>
      <family val="2"/>
      <scheme val="minor"/>
    </font>
    <font>
      <sz val="8"/>
      <color rgb="FF000000"/>
      <name val="Segoe UI"/>
      <family val="2"/>
    </font>
    <font>
      <u val="double"/>
      <sz val="11"/>
      <color rgb="FF99CC00"/>
      <name val="Calibri"/>
      <family val="2"/>
    </font>
  </fonts>
  <fills count="8">
    <fill>
      <patternFill patternType="none"/>
    </fill>
    <fill>
      <patternFill patternType="gray125"/>
    </fill>
    <fill>
      <patternFill patternType="solid">
        <fgColor theme="1" tint="4.9989318521683403E-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0"/>
        <bgColor indexed="64"/>
      </patternFill>
    </fill>
  </fills>
  <borders count="39">
    <border>
      <left/>
      <right/>
      <top/>
      <bottom/>
      <diagonal/>
    </border>
    <border>
      <left/>
      <right/>
      <top/>
      <bottom style="thick">
        <color theme="4"/>
      </bottom>
      <diagonal/>
    </border>
    <border>
      <left/>
      <right/>
      <top/>
      <bottom style="thick">
        <color theme="4"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style="thin">
        <color theme="0"/>
      </right>
      <top/>
      <bottom/>
      <diagonal/>
    </border>
    <border>
      <left/>
      <right style="thin">
        <color theme="0"/>
      </right>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right style="medium">
        <color theme="0"/>
      </right>
      <top style="medium">
        <color theme="0"/>
      </top>
      <bottom style="thin">
        <color theme="0"/>
      </bottom>
      <diagonal/>
    </border>
    <border>
      <left/>
      <right style="medium">
        <color theme="0"/>
      </right>
      <top style="thin">
        <color theme="0"/>
      </top>
      <bottom style="thin">
        <color theme="0"/>
      </bottom>
      <diagonal/>
    </border>
    <border>
      <left/>
      <right style="medium">
        <color theme="0"/>
      </right>
      <top/>
      <bottom style="medium">
        <color theme="0"/>
      </bottom>
      <diagonal/>
    </border>
    <border>
      <left style="medium">
        <color theme="0"/>
      </left>
      <right style="thin">
        <color theme="0"/>
      </right>
      <top style="medium">
        <color theme="0"/>
      </top>
      <bottom style="thin">
        <color theme="0"/>
      </bottom>
      <diagonal/>
    </border>
    <border>
      <left style="medium">
        <color theme="0"/>
      </left>
      <right style="thin">
        <color theme="0"/>
      </right>
      <top style="thin">
        <color theme="0"/>
      </top>
      <bottom style="thin">
        <color theme="0"/>
      </bottom>
      <diagonal/>
    </border>
    <border>
      <left style="medium">
        <color theme="0"/>
      </left>
      <right style="thin">
        <color theme="0"/>
      </right>
      <top/>
      <bottom style="medium">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style="thin">
        <color theme="0"/>
      </left>
      <right/>
      <top/>
      <bottom style="thin">
        <color theme="0"/>
      </bottom>
      <diagonal/>
    </border>
    <border>
      <left/>
      <right/>
      <top/>
      <bottom style="thin">
        <color theme="0"/>
      </bottom>
      <diagonal/>
    </border>
    <border>
      <left/>
      <right/>
      <top/>
      <bottom style="medium">
        <color theme="4" tint="0.39997558519241921"/>
      </bottom>
      <diagonal/>
    </border>
    <border>
      <left style="medium">
        <color indexed="64"/>
      </left>
      <right/>
      <top style="medium">
        <color indexed="64"/>
      </top>
      <bottom style="medium">
        <color theme="4" tint="0.39997558519241921"/>
      </bottom>
      <diagonal/>
    </border>
    <border>
      <left/>
      <right/>
      <top style="medium">
        <color indexed="64"/>
      </top>
      <bottom style="medium">
        <color theme="4" tint="0.39997558519241921"/>
      </bottom>
      <diagonal/>
    </border>
    <border>
      <left/>
      <right style="medium">
        <color indexed="64"/>
      </right>
      <top style="medium">
        <color indexed="64"/>
      </top>
      <bottom style="medium">
        <color theme="4" tint="0.39997558519241921"/>
      </bottom>
      <diagonal/>
    </border>
    <border>
      <left style="thin">
        <color indexed="64"/>
      </left>
      <right style="thin">
        <color indexed="64"/>
      </right>
      <top style="thin">
        <color indexed="64"/>
      </top>
      <bottom style="thin">
        <color indexed="64"/>
      </bottom>
      <diagonal/>
    </border>
  </borders>
  <cellStyleXfs count="5">
    <xf numFmtId="0" fontId="0" fillId="0" borderId="0"/>
    <xf numFmtId="0" fontId="1" fillId="0" borderId="1" applyNumberFormat="0" applyFill="0" applyAlignment="0" applyProtection="0"/>
    <xf numFmtId="0" fontId="2" fillId="0" borderId="2" applyNumberFormat="0" applyFill="0" applyAlignment="0" applyProtection="0"/>
    <xf numFmtId="44" fontId="11" fillId="0" borderId="0" applyFont="0" applyFill="0" applyBorder="0" applyAlignment="0" applyProtection="0"/>
    <xf numFmtId="0" fontId="12" fillId="0" borderId="34" applyNumberFormat="0" applyFill="0" applyAlignment="0" applyProtection="0"/>
  </cellStyleXfs>
  <cellXfs count="67">
    <xf numFmtId="0" fontId="0" fillId="0" borderId="0" xfId="0"/>
    <xf numFmtId="0" fontId="4" fillId="2" borderId="1" xfId="1" applyFont="1" applyFill="1"/>
    <xf numFmtId="0" fontId="3" fillId="2" borderId="0" xfId="0" applyFont="1" applyFill="1"/>
    <xf numFmtId="0" fontId="8" fillId="3" borderId="11" xfId="1" applyFont="1" applyFill="1" applyBorder="1" applyAlignment="1"/>
    <xf numFmtId="0" fontId="8" fillId="3" borderId="12" xfId="1" applyFont="1" applyFill="1" applyBorder="1" applyAlignment="1"/>
    <xf numFmtId="0" fontId="8" fillId="3" borderId="12" xfId="1" applyFont="1" applyFill="1" applyBorder="1"/>
    <xf numFmtId="0" fontId="8" fillId="3" borderId="13" xfId="1" applyFont="1" applyFill="1" applyBorder="1"/>
    <xf numFmtId="0" fontId="9" fillId="5" borderId="25" xfId="0" applyFont="1" applyFill="1" applyBorder="1"/>
    <xf numFmtId="0" fontId="5" fillId="5" borderId="22" xfId="0" applyFont="1" applyFill="1" applyBorder="1"/>
    <xf numFmtId="0" fontId="9" fillId="5" borderId="26" xfId="0" applyFont="1" applyFill="1" applyBorder="1"/>
    <xf numFmtId="0" fontId="5" fillId="5" borderId="23" xfId="0" applyFont="1" applyFill="1" applyBorder="1"/>
    <xf numFmtId="0" fontId="9" fillId="5" borderId="14" xfId="0" applyFont="1" applyFill="1" applyBorder="1"/>
    <xf numFmtId="22" fontId="5" fillId="5" borderId="16" xfId="0" applyNumberFormat="1" applyFont="1" applyFill="1" applyBorder="1"/>
    <xf numFmtId="0" fontId="9" fillId="5" borderId="27" xfId="0" applyFont="1" applyFill="1" applyBorder="1"/>
    <xf numFmtId="0" fontId="5" fillId="5" borderId="24" xfId="0" applyFont="1" applyFill="1" applyBorder="1"/>
    <xf numFmtId="0" fontId="9" fillId="4" borderId="19" xfId="0" applyFont="1" applyFill="1" applyBorder="1" applyAlignment="1">
      <alignment vertical="center" wrapText="1"/>
    </xf>
    <xf numFmtId="0" fontId="5" fillId="4" borderId="17" xfId="0" applyFont="1" applyFill="1" applyBorder="1"/>
    <xf numFmtId="0" fontId="9" fillId="4" borderId="14" xfId="0" applyFont="1" applyFill="1" applyBorder="1" applyAlignment="1">
      <alignment vertical="center" wrapText="1"/>
    </xf>
    <xf numFmtId="0" fontId="5" fillId="4" borderId="16" xfId="0" applyFont="1" applyFill="1" applyBorder="1" applyAlignment="1">
      <alignment vertical="center" wrapText="1"/>
    </xf>
    <xf numFmtId="0" fontId="9" fillId="4" borderId="20" xfId="0" applyFont="1" applyFill="1" applyBorder="1" applyAlignment="1">
      <alignment vertical="center" wrapText="1"/>
    </xf>
    <xf numFmtId="0" fontId="9" fillId="4" borderId="14" xfId="0" applyFont="1" applyFill="1" applyBorder="1"/>
    <xf numFmtId="0" fontId="5" fillId="4" borderId="16" xfId="0" applyFont="1" applyFill="1" applyBorder="1"/>
    <xf numFmtId="0" fontId="9" fillId="4" borderId="21" xfId="0" applyFont="1" applyFill="1" applyBorder="1"/>
    <xf numFmtId="0" fontId="5" fillId="4" borderId="18" xfId="0" applyFont="1" applyFill="1" applyBorder="1"/>
    <xf numFmtId="0" fontId="6" fillId="2" borderId="3" xfId="0" applyFont="1" applyFill="1" applyBorder="1" applyAlignment="1">
      <alignment vertical="center"/>
    </xf>
    <xf numFmtId="0" fontId="6" fillId="2" borderId="4" xfId="0" applyFont="1" applyFill="1" applyBorder="1" applyAlignment="1">
      <alignment vertical="center"/>
    </xf>
    <xf numFmtId="0" fontId="6" fillId="2" borderId="5" xfId="0" applyFont="1" applyFill="1" applyBorder="1" applyAlignment="1">
      <alignment vertical="center"/>
    </xf>
    <xf numFmtId="0" fontId="6" fillId="2" borderId="6" xfId="0" applyFont="1" applyFill="1" applyBorder="1" applyAlignment="1">
      <alignment vertical="center"/>
    </xf>
    <xf numFmtId="0" fontId="6" fillId="2" borderId="0" xfId="0" applyFont="1" applyFill="1" applyAlignment="1">
      <alignment vertical="center"/>
    </xf>
    <xf numFmtId="0" fontId="6" fillId="2" borderId="7" xfId="0" applyFont="1" applyFill="1" applyBorder="1" applyAlignment="1">
      <alignment vertical="center"/>
    </xf>
    <xf numFmtId="0" fontId="6" fillId="2" borderId="8" xfId="0" applyFont="1" applyFill="1" applyBorder="1" applyAlignment="1">
      <alignment vertical="center"/>
    </xf>
    <xf numFmtId="0" fontId="6" fillId="2" borderId="9" xfId="0" applyFont="1" applyFill="1" applyBorder="1" applyAlignment="1">
      <alignment vertical="center"/>
    </xf>
    <xf numFmtId="0" fontId="6" fillId="2" borderId="10" xfId="0" applyFont="1" applyFill="1" applyBorder="1" applyAlignment="1">
      <alignment vertical="center"/>
    </xf>
    <xf numFmtId="44" fontId="13" fillId="6" borderId="8" xfId="0" applyNumberFormat="1" applyFont="1" applyFill="1" applyBorder="1" applyAlignment="1">
      <alignment horizontal="center" vertical="center"/>
    </xf>
    <xf numFmtId="44" fontId="13" fillId="6" borderId="9" xfId="0" applyNumberFormat="1" applyFont="1" applyFill="1" applyBorder="1" applyAlignment="1">
      <alignment horizontal="center" vertical="center"/>
    </xf>
    <xf numFmtId="0" fontId="13" fillId="6" borderId="10" xfId="0" applyFont="1" applyFill="1" applyBorder="1" applyAlignment="1">
      <alignment horizontal="center" vertical="center"/>
    </xf>
    <xf numFmtId="0" fontId="9" fillId="6" borderId="35" xfId="4" applyFont="1" applyFill="1" applyBorder="1" applyAlignment="1">
      <alignment horizontal="center" vertical="center"/>
    </xf>
    <xf numFmtId="0" fontId="9" fillId="6" borderId="36" xfId="4" applyFont="1" applyFill="1" applyBorder="1" applyAlignment="1">
      <alignment horizontal="center" vertical="center"/>
    </xf>
    <xf numFmtId="0" fontId="9" fillId="6" borderId="37" xfId="4" applyFont="1" applyFill="1" applyBorder="1" applyAlignment="1">
      <alignment horizontal="center" vertical="center"/>
    </xf>
    <xf numFmtId="0" fontId="14" fillId="6" borderId="0" xfId="2" applyFont="1" applyFill="1" applyBorder="1" applyAlignment="1"/>
    <xf numFmtId="0" fontId="3" fillId="6" borderId="0" xfId="0" applyFont="1" applyFill="1"/>
    <xf numFmtId="0" fontId="15" fillId="0" borderId="0" xfId="0" applyFont="1"/>
    <xf numFmtId="0" fontId="3" fillId="6" borderId="38" xfId="0" applyFont="1" applyFill="1" applyBorder="1"/>
    <xf numFmtId="0" fontId="3" fillId="0" borderId="0" xfId="0" applyFont="1"/>
    <xf numFmtId="0" fontId="17" fillId="0" borderId="0" xfId="0" applyFont="1"/>
    <xf numFmtId="1" fontId="0" fillId="0" borderId="0" xfId="0" applyNumberFormat="1"/>
    <xf numFmtId="2" fontId="0" fillId="0" borderId="0" xfId="0" applyNumberFormat="1"/>
    <xf numFmtId="3" fontId="3" fillId="6" borderId="38" xfId="0" applyNumberFormat="1" applyFont="1" applyFill="1" applyBorder="1"/>
    <xf numFmtId="0" fontId="3" fillId="6" borderId="0" xfId="0" applyFont="1" applyFill="1" applyAlignment="1">
      <alignment horizontal="left"/>
    </xf>
    <xf numFmtId="44" fontId="3" fillId="6" borderId="0" xfId="0" applyNumberFormat="1" applyFont="1" applyFill="1"/>
    <xf numFmtId="0" fontId="14" fillId="6" borderId="0" xfId="2" applyFont="1" applyFill="1" applyBorder="1"/>
    <xf numFmtId="0" fontId="3" fillId="6" borderId="0" xfId="0" applyFont="1" applyFill="1" applyAlignment="1">
      <alignment horizontal="center" vertical="center"/>
    </xf>
    <xf numFmtId="44" fontId="3" fillId="6" borderId="0" xfId="3" applyFont="1" applyFill="1"/>
    <xf numFmtId="0" fontId="9" fillId="2" borderId="15" xfId="2" applyFont="1" applyFill="1" applyBorder="1" applyAlignment="1">
      <alignment horizontal="center"/>
    </xf>
    <xf numFmtId="0" fontId="9" fillId="2" borderId="16" xfId="2" applyFont="1" applyFill="1" applyBorder="1" applyAlignment="1">
      <alignment horizontal="center"/>
    </xf>
    <xf numFmtId="0" fontId="3" fillId="2" borderId="28" xfId="0" applyFont="1" applyFill="1" applyBorder="1" applyAlignment="1">
      <alignment horizontal="center" vertical="center" wrapText="1"/>
    </xf>
    <xf numFmtId="0" fontId="3" fillId="2" borderId="29" xfId="0" applyFont="1" applyFill="1" applyBorder="1" applyAlignment="1">
      <alignment horizontal="center" vertical="center" wrapText="1"/>
    </xf>
    <xf numFmtId="0" fontId="3" fillId="2" borderId="30" xfId="0" applyFont="1" applyFill="1" applyBorder="1" applyAlignment="1">
      <alignment horizontal="center" vertical="center" wrapText="1"/>
    </xf>
    <xf numFmtId="0" fontId="3" fillId="2" borderId="31" xfId="0" applyFont="1" applyFill="1" applyBorder="1" applyAlignment="1">
      <alignment horizontal="center" vertical="center" wrapText="1"/>
    </xf>
    <xf numFmtId="0" fontId="3" fillId="2" borderId="0" xfId="0" applyFont="1" applyFill="1" applyAlignment="1">
      <alignment horizontal="center" vertical="center" wrapText="1"/>
    </xf>
    <xf numFmtId="0" fontId="3" fillId="2" borderId="17" xfId="0" applyFont="1" applyFill="1" applyBorder="1" applyAlignment="1">
      <alignment horizontal="center" vertical="center" wrapText="1"/>
    </xf>
    <xf numFmtId="0" fontId="3" fillId="2" borderId="32" xfId="0" applyFont="1" applyFill="1" applyBorder="1" applyAlignment="1">
      <alignment horizontal="center" vertical="center" wrapText="1"/>
    </xf>
    <xf numFmtId="0" fontId="3" fillId="2" borderId="33" xfId="0" applyFont="1" applyFill="1" applyBorder="1" applyAlignment="1">
      <alignment horizontal="center" vertical="center" wrapText="1"/>
    </xf>
    <xf numFmtId="0" fontId="3" fillId="2" borderId="18" xfId="0" applyFont="1" applyFill="1" applyBorder="1" applyAlignment="1">
      <alignment horizontal="center" vertical="center" wrapText="1"/>
    </xf>
    <xf numFmtId="0" fontId="16" fillId="7" borderId="1" xfId="1" applyFont="1" applyFill="1" applyAlignment="1">
      <alignment horizontal="center"/>
    </xf>
    <xf numFmtId="0" fontId="14" fillId="6" borderId="0" xfId="2" applyFont="1" applyFill="1" applyBorder="1" applyAlignment="1">
      <alignment horizontal="center"/>
    </xf>
    <xf numFmtId="0" fontId="16" fillId="7" borderId="0" xfId="1" applyFont="1" applyFill="1" applyBorder="1" applyAlignment="1">
      <alignment horizontal="center"/>
    </xf>
  </cellXfs>
  <cellStyles count="5">
    <cellStyle name="Currency" xfId="3" builtinId="4"/>
    <cellStyle name="Heading 1" xfId="1" builtinId="16"/>
    <cellStyle name="Heading 2" xfId="2" builtinId="17"/>
    <cellStyle name="Heading 3" xfId="4" builtinId="18"/>
    <cellStyle name="Normal" xfId="0" builtinId="0"/>
  </cellStyles>
  <dxfs count="39">
    <dxf>
      <font>
        <color theme="0"/>
      </font>
    </dxf>
    <dxf>
      <font>
        <color theme="0"/>
      </font>
    </dxf>
    <dxf>
      <font>
        <color theme="0"/>
      </font>
    </dxf>
    <dxf>
      <font>
        <color theme="0"/>
      </font>
    </dxf>
    <dxf>
      <font>
        <color theme="0"/>
      </font>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ont>
        <color theme="0"/>
      </font>
    </dxf>
    <dxf>
      <font>
        <color theme="0"/>
      </font>
    </dxf>
    <dxf>
      <font>
        <color theme="0"/>
      </font>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ont>
        <color theme="0"/>
      </font>
    </dxf>
    <dxf>
      <font>
        <color theme="0"/>
      </font>
    </dxf>
    <dxf>
      <fill>
        <patternFill>
          <bgColor theme="1"/>
        </patternFill>
      </fill>
    </dxf>
    <dxf>
      <fill>
        <patternFill>
          <bgColor theme="1"/>
        </patternFill>
      </fill>
    </dxf>
    <dxf>
      <fill>
        <patternFill>
          <bgColor theme="1"/>
        </patternFill>
      </fill>
    </dxf>
    <dxf>
      <fill>
        <patternFill>
          <bgColor theme="1"/>
        </patternFill>
      </fill>
    </dxf>
    <dxf>
      <font>
        <strike val="0"/>
        <outline val="0"/>
        <shadow val="0"/>
        <u val="none"/>
        <vertAlign val="baseline"/>
        <sz val="11"/>
        <color theme="0"/>
        <name val="Calibri"/>
        <family val="2"/>
        <scheme val="minor"/>
      </font>
      <numFmt numFmtId="34" formatCode="_(&quot;$&quot;* #,##0.00_);_(&quot;$&quot;* \(#,##0.00\);_(&quot;$&quot;* &quot;-&quot;??_);_(@_)"/>
      <fill>
        <patternFill patternType="solid">
          <fgColor indexed="64"/>
          <bgColor theme="1"/>
        </patternFill>
      </fill>
    </dxf>
    <dxf>
      <font>
        <strike val="0"/>
        <outline val="0"/>
        <shadow val="0"/>
        <u val="none"/>
        <vertAlign val="baseline"/>
        <sz val="11"/>
        <color theme="0"/>
        <name val="Calibri"/>
        <family val="2"/>
        <scheme val="minor"/>
      </font>
      <numFmt numFmtId="34" formatCode="_(&quot;$&quot;* #,##0.00_);_(&quot;$&quot;* \(#,##0.00\);_(&quot;$&quot;* &quot;-&quot;??_);_(@_)"/>
      <fill>
        <patternFill patternType="solid">
          <fgColor indexed="64"/>
          <bgColor theme="1"/>
        </patternFill>
      </fill>
    </dxf>
    <dxf>
      <font>
        <b val="0"/>
        <i val="0"/>
        <strike val="0"/>
        <condense val="0"/>
        <extend val="0"/>
        <outline val="0"/>
        <shadow val="0"/>
        <u val="none"/>
        <vertAlign val="baseline"/>
        <sz val="11"/>
        <color theme="0"/>
        <name val="Calibri"/>
        <family val="2"/>
        <scheme val="minor"/>
      </font>
      <fill>
        <patternFill patternType="solid">
          <fgColor indexed="64"/>
          <bgColor theme="1"/>
        </patternFill>
      </fill>
    </dxf>
    <dxf>
      <font>
        <b val="0"/>
        <i val="0"/>
        <strike val="0"/>
        <condense val="0"/>
        <extend val="0"/>
        <outline val="0"/>
        <shadow val="0"/>
        <u val="none"/>
        <vertAlign val="baseline"/>
        <sz val="11"/>
        <color theme="0"/>
        <name val="Calibri"/>
        <family val="2"/>
        <scheme val="minor"/>
      </font>
      <fill>
        <patternFill patternType="solid">
          <fgColor indexed="64"/>
          <bgColor theme="1"/>
        </patternFill>
      </fill>
    </dxf>
    <dxf>
      <font>
        <strike val="0"/>
        <outline val="0"/>
        <shadow val="0"/>
        <u val="none"/>
        <vertAlign val="baseline"/>
        <sz val="11"/>
        <color theme="0"/>
        <name val="Calibri"/>
        <family val="2"/>
        <scheme val="minor"/>
      </font>
      <fill>
        <patternFill patternType="solid">
          <fgColor indexed="64"/>
          <bgColor theme="1"/>
        </patternFill>
      </fill>
    </dxf>
    <dxf>
      <font>
        <strike val="0"/>
        <outline val="0"/>
        <shadow val="0"/>
        <u val="none"/>
        <vertAlign val="baseline"/>
        <sz val="11"/>
        <color theme="0"/>
        <name val="Calibri"/>
        <family val="2"/>
        <scheme val="minor"/>
      </font>
      <fill>
        <patternFill patternType="solid">
          <fgColor indexed="64"/>
          <bgColor theme="1"/>
        </patternFill>
      </fill>
    </dxf>
    <dxf>
      <font>
        <strike val="0"/>
        <outline val="0"/>
        <shadow val="0"/>
        <u val="none"/>
        <vertAlign val="baseline"/>
        <sz val="11"/>
        <color theme="0"/>
        <name val="Calibri"/>
        <family val="2"/>
        <scheme val="minor"/>
      </font>
      <fill>
        <patternFill patternType="solid">
          <fgColor indexed="64"/>
          <bgColor theme="1"/>
        </patternFill>
      </fill>
    </dxf>
    <dxf>
      <font>
        <strike val="0"/>
        <outline val="0"/>
        <shadow val="0"/>
        <u val="none"/>
        <vertAlign val="baseline"/>
        <sz val="11"/>
        <color theme="0"/>
        <name val="Calibri"/>
        <family val="2"/>
        <scheme val="minor"/>
      </font>
      <fill>
        <patternFill patternType="solid">
          <fgColor indexed="64"/>
          <bgColor theme="1"/>
        </patternFill>
      </fill>
    </dxf>
    <dxf>
      <font>
        <strike val="0"/>
        <outline val="0"/>
        <shadow val="0"/>
        <u val="none"/>
        <vertAlign val="baseline"/>
        <sz val="11"/>
        <color theme="0"/>
        <name val="Calibri"/>
        <family val="2"/>
        <scheme val="minor"/>
      </font>
      <fill>
        <patternFill patternType="solid">
          <fgColor indexed="64"/>
          <bgColor theme="1"/>
        </patternFill>
      </fill>
    </dxf>
    <dxf>
      <font>
        <strike val="0"/>
        <outline val="0"/>
        <shadow val="0"/>
        <u val="none"/>
        <vertAlign val="baseline"/>
        <sz val="11"/>
        <color theme="0"/>
        <name val="Calibri"/>
        <family val="2"/>
        <scheme val="minor"/>
      </font>
      <fill>
        <patternFill patternType="solid">
          <fgColor indexed="64"/>
          <bgColor theme="1"/>
        </patternFill>
      </fill>
    </dxf>
    <dxf>
      <font>
        <strike val="0"/>
        <outline val="0"/>
        <shadow val="0"/>
        <u val="none"/>
        <vertAlign val="baseline"/>
        <sz val="11"/>
        <color theme="0"/>
        <name val="Calibri"/>
        <family val="2"/>
        <scheme val="minor"/>
      </font>
      <fill>
        <patternFill patternType="solid">
          <fgColor indexed="64"/>
          <bgColor theme="1"/>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Exam.xlsm]Pivot Analysis!PivotTable2</c:name>
    <c:fmtId val="2"/>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Revenue by Product</a:t>
            </a:r>
          </a:p>
        </c:rich>
      </c:tx>
      <c:layout>
        <c:manualLayout>
          <c:xMode val="edge"/>
          <c:yMode val="edge"/>
          <c:x val="0.33386111111111111"/>
          <c:y val="6.7403032954214057E-2"/>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Analysis'!$B$3</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'Pivot Analysis'!$A$4:$A$21</c:f>
              <c:strCache>
                <c:ptCount val="18"/>
                <c:pt idx="0">
                  <c:v>Cereal Storage Container</c:v>
                </c:pt>
                <c:pt idx="1">
                  <c:v>Chef Knife</c:v>
                </c:pt>
                <c:pt idx="2">
                  <c:v>Cutting Board</c:v>
                </c:pt>
                <c:pt idx="3">
                  <c:v>Food Storage Bags</c:v>
                </c:pt>
                <c:pt idx="4">
                  <c:v>Glass Storage Jars</c:v>
                </c:pt>
                <c:pt idx="5">
                  <c:v>Kitchen Tongs</c:v>
                </c:pt>
                <c:pt idx="6">
                  <c:v>Mason Jars</c:v>
                </c:pt>
                <c:pt idx="7">
                  <c:v>Measuring Cups</c:v>
                </c:pt>
                <c:pt idx="8">
                  <c:v>Microfiber Towels</c:v>
                </c:pt>
                <c:pt idx="9">
                  <c:v>Oven Mitts</c:v>
                </c:pt>
                <c:pt idx="10">
                  <c:v>Peeler</c:v>
                </c:pt>
                <c:pt idx="11">
                  <c:v>Pizza Cutter</c:v>
                </c:pt>
                <c:pt idx="12">
                  <c:v>Salt &amp; Pepper Grinder</c:v>
                </c:pt>
                <c:pt idx="13">
                  <c:v>Spice Rack</c:v>
                </c:pt>
                <c:pt idx="14">
                  <c:v>Stainless Steel Knife</c:v>
                </c:pt>
                <c:pt idx="15">
                  <c:v>Steel Strainer</c:v>
                </c:pt>
                <c:pt idx="16">
                  <c:v>Tea Kettle</c:v>
                </c:pt>
                <c:pt idx="17">
                  <c:v>Trash Bags</c:v>
                </c:pt>
              </c:strCache>
            </c:strRef>
          </c:cat>
          <c:val>
            <c:numRef>
              <c:f>'Pivot Analysis'!$B$4:$B$21</c:f>
              <c:numCache>
                <c:formatCode>_("$"* #,##0.00_);_("$"* \(#,##0.00\);_("$"* "-"??_);_(@_)</c:formatCode>
                <c:ptCount val="18"/>
                <c:pt idx="0">
                  <c:v>1898.9999999999998</c:v>
                </c:pt>
                <c:pt idx="1">
                  <c:v>1499.3999999999999</c:v>
                </c:pt>
                <c:pt idx="2">
                  <c:v>1948.5</c:v>
                </c:pt>
                <c:pt idx="3">
                  <c:v>1497</c:v>
                </c:pt>
                <c:pt idx="4">
                  <c:v>1199.2</c:v>
                </c:pt>
                <c:pt idx="5">
                  <c:v>934.15</c:v>
                </c:pt>
                <c:pt idx="6">
                  <c:v>2185.75</c:v>
                </c:pt>
                <c:pt idx="7">
                  <c:v>988.9</c:v>
                </c:pt>
                <c:pt idx="8">
                  <c:v>1398</c:v>
                </c:pt>
                <c:pt idx="9">
                  <c:v>1079.0999999999999</c:v>
                </c:pt>
                <c:pt idx="10">
                  <c:v>1198</c:v>
                </c:pt>
                <c:pt idx="11">
                  <c:v>1119.3</c:v>
                </c:pt>
                <c:pt idx="12">
                  <c:v>1819.35</c:v>
                </c:pt>
                <c:pt idx="13">
                  <c:v>1574.5500000000002</c:v>
                </c:pt>
                <c:pt idx="14">
                  <c:v>1899.05</c:v>
                </c:pt>
                <c:pt idx="15">
                  <c:v>1259.0999999999999</c:v>
                </c:pt>
                <c:pt idx="16">
                  <c:v>1499.5</c:v>
                </c:pt>
                <c:pt idx="17">
                  <c:v>1997.5</c:v>
                </c:pt>
              </c:numCache>
            </c:numRef>
          </c:val>
          <c:extLst>
            <c:ext xmlns:c16="http://schemas.microsoft.com/office/drawing/2014/chart" uri="{C3380CC4-5D6E-409C-BE32-E72D297353CC}">
              <c16:uniqueId val="{00000000-03F0-4398-B0BA-2126A9FE501E}"/>
            </c:ext>
          </c:extLst>
        </c:ser>
        <c:dLbls>
          <c:showLegendKey val="0"/>
          <c:showVal val="0"/>
          <c:showCatName val="0"/>
          <c:showSerName val="0"/>
          <c:showPercent val="0"/>
          <c:showBubbleSize val="0"/>
        </c:dLbls>
        <c:gapWidth val="315"/>
        <c:overlap val="-40"/>
        <c:axId val="2050486048"/>
        <c:axId val="2050487008"/>
      </c:barChart>
      <c:catAx>
        <c:axId val="205048604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050487008"/>
        <c:crosses val="autoZero"/>
        <c:auto val="1"/>
        <c:lblAlgn val="ctr"/>
        <c:lblOffset val="100"/>
        <c:noMultiLvlLbl val="0"/>
      </c:catAx>
      <c:valAx>
        <c:axId val="2050487008"/>
        <c:scaling>
          <c:orientation val="minMax"/>
        </c:scaling>
        <c:delete val="0"/>
        <c:axPos val="l"/>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0504860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Exam.xlsm]Pivot Analysis!PivotTable3</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600" b="1" i="0" u="none" strike="noStrike" baseline="0">
                <a:effectLst>
                  <a:outerShdw blurRad="50800" dist="38100" dir="5400000" algn="t" rotWithShape="0">
                    <a:prstClr val="black">
                      <a:alpha val="40000"/>
                    </a:prstClr>
                  </a:outerShdw>
                </a:effectLst>
              </a:rPr>
              <a:t>Revenue by Region</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'Pivot Analysis'!$E$3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 Analysis'!$D$4:$D$7</c:f>
              <c:strCache>
                <c:ptCount val="4"/>
                <c:pt idx="0">
                  <c:v>East</c:v>
                </c:pt>
                <c:pt idx="1">
                  <c:v>North</c:v>
                </c:pt>
                <c:pt idx="2">
                  <c:v>South</c:v>
                </c:pt>
                <c:pt idx="3">
                  <c:v>West</c:v>
                </c:pt>
              </c:strCache>
            </c:strRef>
          </c:cat>
          <c:val>
            <c:numRef>
              <c:f>'Pivot Analysis'!$E$4:$E$7</c:f>
              <c:numCache>
                <c:formatCode>_("$"* #,##0.00_);_("$"* \(#,##0.00\);_("$"* "-"??_);_(@_)</c:formatCode>
                <c:ptCount val="4"/>
                <c:pt idx="0">
                  <c:v>8371.5</c:v>
                </c:pt>
                <c:pt idx="1">
                  <c:v>6403.1</c:v>
                </c:pt>
                <c:pt idx="2">
                  <c:v>7279.15</c:v>
                </c:pt>
                <c:pt idx="3">
                  <c:v>4941.5999999999995</c:v>
                </c:pt>
              </c:numCache>
            </c:numRef>
          </c:val>
          <c:extLst>
            <c:ext xmlns:c16="http://schemas.microsoft.com/office/drawing/2014/chart" uri="{C3380CC4-5D6E-409C-BE32-E72D297353CC}">
              <c16:uniqueId val="{00000000-8B67-4AE6-A18D-91F1E89A117B}"/>
            </c:ext>
          </c:extLst>
        </c:ser>
        <c:dLbls>
          <c:showLegendKey val="0"/>
          <c:showVal val="0"/>
          <c:showCatName val="0"/>
          <c:showSerName val="0"/>
          <c:showPercent val="0"/>
          <c:showBubbleSize val="0"/>
        </c:dLbls>
        <c:gapWidth val="150"/>
        <c:shape val="box"/>
        <c:axId val="2137824192"/>
        <c:axId val="2137828032"/>
        <c:axId val="130694640"/>
      </c:bar3DChart>
      <c:catAx>
        <c:axId val="21378241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37828032"/>
        <c:crosses val="autoZero"/>
        <c:auto val="1"/>
        <c:lblAlgn val="ctr"/>
        <c:lblOffset val="100"/>
        <c:noMultiLvlLbl val="0"/>
      </c:catAx>
      <c:valAx>
        <c:axId val="2137828032"/>
        <c:scaling>
          <c:orientation val="minMax"/>
        </c:scaling>
        <c:delete val="0"/>
        <c:axPos val="l"/>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37824192"/>
        <c:crosses val="autoZero"/>
        <c:crossBetween val="between"/>
      </c:valAx>
      <c:serAx>
        <c:axId val="130694640"/>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37828032"/>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spPr>
            <a:solidFill>
              <a:schemeClr val="accent1"/>
            </a:solidFill>
            <a:ln>
              <a:noFill/>
            </a:ln>
            <a:effectLst/>
            <a:sp3d/>
          </c:spPr>
          <c:invertIfNegative val="0"/>
          <c:cat>
            <c:strRef>
              <c:f>Dashboard!$R$5:$R$14</c:f>
              <c:strCache>
                <c:ptCount val="10"/>
                <c:pt idx="0">
                  <c:v>Water Bottle</c:v>
                </c:pt>
                <c:pt idx="1">
                  <c:v>Mason Jars</c:v>
                </c:pt>
                <c:pt idx="2">
                  <c:v>Trash Bags</c:v>
                </c:pt>
                <c:pt idx="3">
                  <c:v>Cutting Board</c:v>
                </c:pt>
                <c:pt idx="4">
                  <c:v>Stainless Steel Knife</c:v>
                </c:pt>
                <c:pt idx="5">
                  <c:v>Cereal Storage Container</c:v>
                </c:pt>
                <c:pt idx="6">
                  <c:v>Salt &amp; Pepper Grinder</c:v>
                </c:pt>
                <c:pt idx="7">
                  <c:v>Soap Dispenser</c:v>
                </c:pt>
                <c:pt idx="8">
                  <c:v>Table Coasters</c:v>
                </c:pt>
                <c:pt idx="9">
                  <c:v>Spice Rack</c:v>
                </c:pt>
              </c:strCache>
            </c:strRef>
          </c:cat>
          <c:val>
            <c:numRef>
              <c:f>Dashboard!$S$5:$S$14</c:f>
              <c:numCache>
                <c:formatCode>General</c:formatCode>
                <c:ptCount val="10"/>
                <c:pt idx="0">
                  <c:v>2378.6</c:v>
                </c:pt>
                <c:pt idx="1">
                  <c:v>2185.75</c:v>
                </c:pt>
                <c:pt idx="2">
                  <c:v>1997.5</c:v>
                </c:pt>
                <c:pt idx="3">
                  <c:v>1948.5</c:v>
                </c:pt>
                <c:pt idx="4">
                  <c:v>1899.05</c:v>
                </c:pt>
                <c:pt idx="5">
                  <c:v>1898.9999999999998</c:v>
                </c:pt>
                <c:pt idx="6">
                  <c:v>1819.35</c:v>
                </c:pt>
                <c:pt idx="7">
                  <c:v>1818.6000000000001</c:v>
                </c:pt>
                <c:pt idx="8">
                  <c:v>1598.4</c:v>
                </c:pt>
                <c:pt idx="9">
                  <c:v>1574.5500000000002</c:v>
                </c:pt>
              </c:numCache>
            </c:numRef>
          </c:val>
          <c:extLst>
            <c:ext xmlns:c16="http://schemas.microsoft.com/office/drawing/2014/chart" uri="{C3380CC4-5D6E-409C-BE32-E72D297353CC}">
              <c16:uniqueId val="{00000000-A98B-4859-9F90-F6E639972ACA}"/>
            </c:ext>
          </c:extLst>
        </c:ser>
        <c:dLbls>
          <c:showLegendKey val="0"/>
          <c:showVal val="0"/>
          <c:showCatName val="0"/>
          <c:showSerName val="0"/>
          <c:showPercent val="0"/>
          <c:showBubbleSize val="0"/>
        </c:dLbls>
        <c:gapWidth val="150"/>
        <c:shape val="box"/>
        <c:axId val="1607259567"/>
        <c:axId val="1607260047"/>
        <c:axId val="0"/>
      </c:bar3DChart>
      <c:catAx>
        <c:axId val="160725956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7260047"/>
        <c:crosses val="autoZero"/>
        <c:auto val="1"/>
        <c:lblAlgn val="ctr"/>
        <c:lblOffset val="100"/>
        <c:noMultiLvlLbl val="0"/>
      </c:catAx>
      <c:valAx>
        <c:axId val="16072600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72595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D$4"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15240</xdr:colOff>
          <xdr:row>2</xdr:row>
          <xdr:rowOff>129540</xdr:rowOff>
        </xdr:from>
        <xdr:to>
          <xdr:col>6</xdr:col>
          <xdr:colOff>251460</xdr:colOff>
          <xdr:row>4</xdr:row>
          <xdr:rowOff>106680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Go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15240</xdr:colOff>
          <xdr:row>4</xdr:row>
          <xdr:rowOff>152400</xdr:rowOff>
        </xdr:from>
        <xdr:to>
          <xdr:col>6</xdr:col>
          <xdr:colOff>251460</xdr:colOff>
          <xdr:row>6</xdr:row>
          <xdr:rowOff>129540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Go to Sales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6</xdr:row>
          <xdr:rowOff>167640</xdr:rowOff>
        </xdr:from>
        <xdr:to>
          <xdr:col>6</xdr:col>
          <xdr:colOff>251460</xdr:colOff>
          <xdr:row>8</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Go to Optimization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601980</xdr:colOff>
          <xdr:row>9</xdr:row>
          <xdr:rowOff>22860</xdr:rowOff>
        </xdr:from>
        <xdr:to>
          <xdr:col>6</xdr:col>
          <xdr:colOff>259080</xdr:colOff>
          <xdr:row>11</xdr:row>
          <xdr:rowOff>91440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Go to Automation Controls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125565</xdr:colOff>
      <xdr:row>5</xdr:row>
      <xdr:rowOff>10602</xdr:rowOff>
    </xdr:from>
    <xdr:to>
      <xdr:col>10</xdr:col>
      <xdr:colOff>291216</xdr:colOff>
      <xdr:row>18</xdr:row>
      <xdr:rowOff>65682</xdr:rowOff>
    </xdr:to>
    <mc:AlternateContent xmlns:mc="http://schemas.openxmlformats.org/markup-compatibility/2006" xmlns:a14="http://schemas.microsoft.com/office/drawing/2010/main">
      <mc:Choice Requires="a14">
        <xdr:graphicFrame macro="">
          <xdr:nvGraphicFramePr>
            <xdr:cNvPr id="3" name="Category ">
              <a:extLst>
                <a:ext uri="{FF2B5EF4-FFF2-40B4-BE49-F238E27FC236}">
                  <a16:creationId xmlns:a16="http://schemas.microsoft.com/office/drawing/2014/main" id="{B47421EF-3DBF-18FB-FA3B-2912A7C0FD7F}"/>
                </a:ext>
              </a:extLst>
            </xdr:cNvPr>
            <xdr:cNvGraphicFramePr/>
          </xdr:nvGraphicFramePr>
          <xdr:xfrm>
            <a:off x="0" y="0"/>
            <a:ext cx="0" cy="0"/>
          </xdr:xfrm>
          <a:graphic>
            <a:graphicData uri="http://schemas.microsoft.com/office/drawing/2010/slicer">
              <sle:slicer xmlns:sle="http://schemas.microsoft.com/office/drawing/2010/slicer" name="Category "/>
            </a:graphicData>
          </a:graphic>
        </xdr:graphicFrame>
      </mc:Choice>
      <mc:Fallback xmlns="">
        <xdr:sp macro="" textlink="">
          <xdr:nvSpPr>
            <xdr:cNvPr id="0" name=""/>
            <xdr:cNvSpPr>
              <a:spLocks noTextEdit="1"/>
            </xdr:cNvSpPr>
          </xdr:nvSpPr>
          <xdr:spPr>
            <a:xfrm>
              <a:off x="5337645" y="1115502"/>
              <a:ext cx="1826811" cy="2432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461982</xdr:colOff>
      <xdr:row>4</xdr:row>
      <xdr:rowOff>185529</xdr:rowOff>
    </xdr:from>
    <xdr:to>
      <xdr:col>5</xdr:col>
      <xdr:colOff>435478</xdr:colOff>
      <xdr:row>19</xdr:row>
      <xdr:rowOff>145771</xdr:rowOff>
    </xdr:to>
    <xdr:graphicFrame macro="">
      <xdr:nvGraphicFramePr>
        <xdr:cNvPr id="5" name="Chart 1">
          <a:extLst>
            <a:ext uri="{FF2B5EF4-FFF2-40B4-BE49-F238E27FC236}">
              <a16:creationId xmlns:a16="http://schemas.microsoft.com/office/drawing/2014/main" id="{CA3890FD-361B-7EEE-1D01-3135D943CB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444201</xdr:colOff>
      <xdr:row>20</xdr:row>
      <xdr:rowOff>163286</xdr:rowOff>
    </xdr:from>
    <xdr:to>
      <xdr:col>5</xdr:col>
      <xdr:colOff>408342</xdr:colOff>
      <xdr:row>36</xdr:row>
      <xdr:rowOff>114748</xdr:rowOff>
    </xdr:to>
    <xdr:graphicFrame macro="">
      <xdr:nvGraphicFramePr>
        <xdr:cNvPr id="6" name="Chart 2">
          <a:extLst>
            <a:ext uri="{FF2B5EF4-FFF2-40B4-BE49-F238E27FC236}">
              <a16:creationId xmlns:a16="http://schemas.microsoft.com/office/drawing/2014/main" id="{F140B20C-412F-5E77-4043-A85E041BFC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298174</xdr:colOff>
      <xdr:row>14</xdr:row>
      <xdr:rowOff>149086</xdr:rowOff>
    </xdr:from>
    <xdr:to>
      <xdr:col>21</xdr:col>
      <xdr:colOff>337931</xdr:colOff>
      <xdr:row>29</xdr:row>
      <xdr:rowOff>76200</xdr:rowOff>
    </xdr:to>
    <xdr:graphicFrame macro="">
      <xdr:nvGraphicFramePr>
        <xdr:cNvPr id="2" name="Chart 1">
          <a:extLst>
            <a:ext uri="{FF2B5EF4-FFF2-40B4-BE49-F238E27FC236}">
              <a16:creationId xmlns:a16="http://schemas.microsoft.com/office/drawing/2014/main" id="{9F642FC1-A725-4C06-E861-68E3466A1B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457200</xdr:colOff>
      <xdr:row>9</xdr:row>
      <xdr:rowOff>30480</xdr:rowOff>
    </xdr:from>
    <xdr:to>
      <xdr:col>8</xdr:col>
      <xdr:colOff>739140</xdr:colOff>
      <xdr:row>16</xdr:row>
      <xdr:rowOff>15240</xdr:rowOff>
    </xdr:to>
    <xdr:sp macro="" textlink="">
      <xdr:nvSpPr>
        <xdr:cNvPr id="2" name="TextBox 1">
          <a:extLst>
            <a:ext uri="{FF2B5EF4-FFF2-40B4-BE49-F238E27FC236}">
              <a16:creationId xmlns:a16="http://schemas.microsoft.com/office/drawing/2014/main" id="{74F1E9BC-EC37-AD4A-E167-7CAEB3BD175F}"/>
            </a:ext>
          </a:extLst>
        </xdr:cNvPr>
        <xdr:cNvSpPr txBox="1"/>
      </xdr:nvSpPr>
      <xdr:spPr>
        <a:xfrm>
          <a:off x="7581900" y="1744980"/>
          <a:ext cx="4556760" cy="1264920"/>
        </a:xfrm>
        <a:prstGeom prst="rect">
          <a:avLst/>
        </a:prstGeom>
        <a:noFill/>
        <a:ln w="9525" cmpd="sng">
          <a:solidFill>
            <a:schemeClr val="lt1">
              <a:shade val="50000"/>
            </a:schemeClr>
          </a:solidFill>
        </a:ln>
        <a:extLst>
          <a:ext uri="{909E8E84-426E-40DD-AFC4-6F175D3DCCD1}">
            <a14:hiddenFill xmlns:a14="http://schemas.microsoft.com/office/drawing/2010/main">
              <a:solidFill>
                <a:schemeClr val="tx1">
                  <a:lumMod val="100000"/>
                </a:schemeClr>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indent="0"/>
          <a:endParaRPr lang="en-US" sz="1100" b="0" u="none" baseline="0">
            <a:solidFill>
              <a:schemeClr val="tx1">
                <a:lumMod val="100000"/>
              </a:schemeClr>
            </a:solidFill>
            <a:latin typeface="+mn-lt"/>
            <a:ea typeface="+mn-ea"/>
            <a:cs typeface="+mn-cs"/>
          </a:endParaRPr>
        </a:p>
      </xdr:txBody>
    </xdr:sp>
    <xdr:clientData/>
  </xdr:twoCellAnchor>
  <xdr:twoCellAnchor>
    <xdr:from>
      <xdr:col>5</xdr:col>
      <xdr:colOff>457200</xdr:colOff>
      <xdr:row>9</xdr:row>
      <xdr:rowOff>30480</xdr:rowOff>
    </xdr:from>
    <xdr:to>
      <xdr:col>8</xdr:col>
      <xdr:colOff>739140</xdr:colOff>
      <xdr:row>16</xdr:row>
      <xdr:rowOff>15240</xdr:rowOff>
    </xdr:to>
    <xdr:sp macro="" textlink="">
      <xdr:nvSpPr>
        <xdr:cNvPr id="3" name="TextBox 2">
          <a:extLst>
            <a:ext uri="{FF2B5EF4-FFF2-40B4-BE49-F238E27FC236}">
              <a16:creationId xmlns:a16="http://schemas.microsoft.com/office/drawing/2014/main" id="{FF647F2F-1FF6-9F9B-DFC2-46FF24014285}"/>
            </a:ext>
          </a:extLst>
        </xdr:cNvPr>
        <xdr:cNvSpPr txBox="1"/>
      </xdr:nvSpPr>
      <xdr:spPr>
        <a:xfrm>
          <a:off x="7581900" y="1744980"/>
          <a:ext cx="4556760" cy="12649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nxgncvmcvm cvn </a:t>
          </a:r>
        </a:p>
      </xdr:txBody>
    </xdr:sp>
    <xdr:clientData/>
  </xdr:twoCellAnchor>
  <xdr:twoCellAnchor>
    <xdr:from>
      <xdr:col>5</xdr:col>
      <xdr:colOff>457200</xdr:colOff>
      <xdr:row>9</xdr:row>
      <xdr:rowOff>30480</xdr:rowOff>
    </xdr:from>
    <xdr:to>
      <xdr:col>8</xdr:col>
      <xdr:colOff>739140</xdr:colOff>
      <xdr:row>16</xdr:row>
      <xdr:rowOff>15240</xdr:rowOff>
    </xdr:to>
    <xdr:sp macro="" textlink="">
      <xdr:nvSpPr>
        <xdr:cNvPr id="4" name="TextBox 3">
          <a:extLst>
            <a:ext uri="{FF2B5EF4-FFF2-40B4-BE49-F238E27FC236}">
              <a16:creationId xmlns:a16="http://schemas.microsoft.com/office/drawing/2014/main" id="{9B6650F4-598B-A028-BF84-6A2AAAF22840}"/>
            </a:ext>
          </a:extLst>
        </xdr:cNvPr>
        <xdr:cNvSpPr txBox="1"/>
      </xdr:nvSpPr>
      <xdr:spPr>
        <a:xfrm>
          <a:off x="7581900" y="1744980"/>
          <a:ext cx="4556760" cy="12649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400" b="1" u="sng"/>
            <a:t>This sheet demonstrates the use of XLOOKUP, RANDBETWEEN, IF, COUNTIF(S), COUNTA, IFERROR, and AVERAGE functions to automate inventory status (OK/REORDER) and generate KPI insights.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45720</xdr:colOff>
      <xdr:row>1</xdr:row>
      <xdr:rowOff>60960</xdr:rowOff>
    </xdr:from>
    <xdr:to>
      <xdr:col>6</xdr:col>
      <xdr:colOff>14288</xdr:colOff>
      <xdr:row>4</xdr:row>
      <xdr:rowOff>152400</xdr:rowOff>
    </xdr:to>
    <xdr:sp macro="" textlink="">
      <xdr:nvSpPr>
        <xdr:cNvPr id="2" name="TextBox 1">
          <a:extLst>
            <a:ext uri="{FF2B5EF4-FFF2-40B4-BE49-F238E27FC236}">
              <a16:creationId xmlns:a16="http://schemas.microsoft.com/office/drawing/2014/main" id="{75DCBFA9-BB2B-5527-B7C2-73AC617B960F}"/>
            </a:ext>
          </a:extLst>
        </xdr:cNvPr>
        <xdr:cNvSpPr txBox="1"/>
      </xdr:nvSpPr>
      <xdr:spPr>
        <a:xfrm>
          <a:off x="4317683" y="318135"/>
          <a:ext cx="4240530" cy="64389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u="sng">
              <a:solidFill>
                <a:schemeClr val="bg1"/>
              </a:solidFill>
            </a:rPr>
            <a:t>This is exam-ready</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3</xdr:row>
          <xdr:rowOff>68580</xdr:rowOff>
        </xdr:from>
        <xdr:to>
          <xdr:col>1</xdr:col>
          <xdr:colOff>670560</xdr:colOff>
          <xdr:row>4</xdr:row>
          <xdr:rowOff>106680</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solidFill>
              <a:srgbClr val="99CC00" mc:Ignorable="a14" a14:legacySpreadsheetColorIndex="5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Formatted Report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8</xdr:row>
          <xdr:rowOff>45720</xdr:rowOff>
        </xdr:from>
        <xdr:to>
          <xdr:col>0</xdr:col>
          <xdr:colOff>1348740</xdr:colOff>
          <xdr:row>9</xdr:row>
          <xdr:rowOff>152400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dbl" strike="noStrike" baseline="0">
                  <a:solidFill>
                    <a:srgbClr val="99CC00"/>
                  </a:solidFill>
                  <a:latin typeface="Calibri"/>
                  <a:ea typeface="Calibri"/>
                  <a:cs typeface="Calibri"/>
                </a:rPr>
                <a:t>Show Inventory Alerts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shal Vaid" refreshedDate="46000.118818287039" createdVersion="8" refreshedVersion="8" minRefreshableVersion="3" recordCount="25" xr:uid="{742AE6BA-1812-4BD6-978B-930C10C6C516}">
  <cacheSource type="worksheet">
    <worksheetSource name="Table3"/>
  </cacheSource>
  <cacheFields count="9">
    <cacheField name="Order ID" numFmtId="0">
      <sharedItems containsSemiMixedTypes="0" containsString="0" containsNumber="1" containsInteger="1" minValue="1001" maxValue="1025"/>
    </cacheField>
    <cacheField name="Product" numFmtId="0">
      <sharedItems count="25">
        <s v="Silicone Spatula"/>
        <s v="Glass Storage Jars"/>
        <s v="Microfiber Towels"/>
        <s v="Stainless Steel Knife"/>
        <s v="Cutting Board"/>
        <s v="Measuring Cups"/>
        <s v="Oven Mitts"/>
        <s v="Water Bottle"/>
        <s v="Food Storage Bags"/>
        <s v="Bamboo Spatula"/>
        <s v="Kitchen Tongs"/>
        <s v="Pizza Cutter"/>
        <s v="Chef Knife"/>
        <s v="Peeler"/>
        <s v="Serving Tray"/>
        <s v="Table Coasters"/>
        <s v="Tea Kettle"/>
        <s v="Trash Bags"/>
        <s v="Soap Dispenser"/>
        <s v="Spice Rack"/>
        <s v="Mason Jars"/>
        <s v="Steel Strainer"/>
        <s v="Salt &amp; Pepper Grinder"/>
        <s v="Cereal Storage Container"/>
        <s v="Cloth Napkins"/>
      </sharedItems>
    </cacheField>
    <cacheField name="Category " numFmtId="0">
      <sharedItems count="6">
        <s v="Set"/>
        <s v="Kitchen"/>
        <s v="Cleaning"/>
        <s v="Cutlery"/>
        <s v="Drinkware"/>
        <s v="Home"/>
      </sharedItems>
    </cacheField>
    <cacheField name="Region " numFmtId="0">
      <sharedItems count="4">
        <s v="North"/>
        <s v="West"/>
        <s v="South"/>
        <s v="East"/>
      </sharedItems>
    </cacheField>
    <cacheField name="Units Sold" numFmtId="0">
      <sharedItems containsSemiMixedTypes="0" containsString="0" containsNumber="1" containsInteger="1" minValue="45" maxValue="300"/>
    </cacheField>
    <cacheField name="Unit Price" numFmtId="44">
      <sharedItems containsSemiMixedTypes="0" containsString="0" containsNumber="1" minValue="4.99" maxValue="34.99"/>
    </cacheField>
    <cacheField name="Cost per Unit" numFmtId="44">
      <sharedItems containsSemiMixedTypes="0" containsString="0" containsNumber="1" minValue="2" maxValue="15"/>
    </cacheField>
    <cacheField name="Revenue " numFmtId="44">
      <sharedItems containsSemiMixedTypes="0" containsString="0" containsNumber="1" minValue="934.15" maxValue="2378.6"/>
    </cacheField>
    <cacheField name="Profit" numFmtId="44">
      <sharedItems containsSemiMixedTypes="0" containsString="0" containsNumber="1" minValue="551.65" maxValue="1328.6"/>
    </cacheField>
  </cacheFields>
  <extLst>
    <ext xmlns:x14="http://schemas.microsoft.com/office/spreadsheetml/2009/9/main" uri="{725AE2AE-9491-48be-B2B4-4EB974FC3084}">
      <x14:pivotCacheDefinition pivotCacheId="39449901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001"/>
    <x v="0"/>
    <x v="0"/>
    <x v="0"/>
    <n v="120"/>
    <n v="9.99"/>
    <n v="4"/>
    <n v="1198.8"/>
    <n v="718.8"/>
  </r>
  <r>
    <n v="1002"/>
    <x v="1"/>
    <x v="1"/>
    <x v="1"/>
    <n v="80"/>
    <n v="14.99"/>
    <n v="7"/>
    <n v="1199.2"/>
    <n v="639.20000000000005"/>
  </r>
  <r>
    <n v="1003"/>
    <x v="2"/>
    <x v="2"/>
    <x v="2"/>
    <n v="200"/>
    <n v="6.99"/>
    <n v="3"/>
    <n v="1398"/>
    <n v="798"/>
  </r>
  <r>
    <n v="1004"/>
    <x v="3"/>
    <x v="3"/>
    <x v="3"/>
    <n v="95"/>
    <n v="19.989999999999998"/>
    <n v="9"/>
    <n v="1899.05"/>
    <n v="1044.05"/>
  </r>
  <r>
    <n v="1005"/>
    <x v="4"/>
    <x v="1"/>
    <x v="0"/>
    <n v="150"/>
    <n v="12.99"/>
    <n v="5"/>
    <n v="1948.5"/>
    <n v="1198.5"/>
  </r>
  <r>
    <n v="1006"/>
    <x v="5"/>
    <x v="1"/>
    <x v="1"/>
    <n v="110"/>
    <n v="8.99"/>
    <n v="3.5"/>
    <n v="988.9"/>
    <n v="603.9"/>
  </r>
  <r>
    <n v="1007"/>
    <x v="6"/>
    <x v="1"/>
    <x v="2"/>
    <n v="90"/>
    <n v="11.99"/>
    <n v="5.5"/>
    <n v="1079.0999999999999"/>
    <n v="584.09999999999991"/>
  </r>
  <r>
    <n v="1008"/>
    <x v="7"/>
    <x v="4"/>
    <x v="3"/>
    <n v="140"/>
    <n v="16.989999999999998"/>
    <n v="7.5"/>
    <n v="2378.6"/>
    <n v="1328.6"/>
  </r>
  <r>
    <n v="1009"/>
    <x v="8"/>
    <x v="1"/>
    <x v="2"/>
    <n v="300"/>
    <n v="4.99"/>
    <n v="2"/>
    <n v="1497"/>
    <n v="897"/>
  </r>
  <r>
    <n v="1010"/>
    <x v="9"/>
    <x v="0"/>
    <x v="0"/>
    <n v="130"/>
    <n v="8.99"/>
    <n v="3"/>
    <n v="1168.7"/>
    <n v="778.7"/>
  </r>
  <r>
    <n v="1011"/>
    <x v="10"/>
    <x v="1"/>
    <x v="1"/>
    <n v="85"/>
    <n v="10.99"/>
    <n v="4.5"/>
    <n v="934.15"/>
    <n v="551.65"/>
  </r>
  <r>
    <n v="1012"/>
    <x v="11"/>
    <x v="3"/>
    <x v="2"/>
    <n v="70"/>
    <n v="15.99"/>
    <n v="6"/>
    <n v="1119.3"/>
    <n v="699.3"/>
  </r>
  <r>
    <n v="1013"/>
    <x v="12"/>
    <x v="3"/>
    <x v="3"/>
    <n v="60"/>
    <n v="24.99"/>
    <n v="11"/>
    <n v="1499.3999999999999"/>
    <n v="839.39999999999986"/>
  </r>
  <r>
    <n v="1014"/>
    <x v="13"/>
    <x v="1"/>
    <x v="0"/>
    <n v="200"/>
    <n v="5.99"/>
    <n v="2"/>
    <n v="1198"/>
    <n v="798"/>
  </r>
  <r>
    <n v="1015"/>
    <x v="14"/>
    <x v="5"/>
    <x v="1"/>
    <n v="55"/>
    <n v="22.99"/>
    <n v="10"/>
    <n v="1264.4499999999998"/>
    <n v="714.44999999999982"/>
  </r>
  <r>
    <n v="1016"/>
    <x v="15"/>
    <x v="5"/>
    <x v="2"/>
    <n v="160"/>
    <n v="9.99"/>
    <n v="4"/>
    <n v="1598.4"/>
    <n v="958.40000000000009"/>
  </r>
  <r>
    <n v="1017"/>
    <x v="16"/>
    <x v="1"/>
    <x v="3"/>
    <n v="50"/>
    <n v="29.99"/>
    <n v="13"/>
    <n v="1499.5"/>
    <n v="849.5"/>
  </r>
  <r>
    <n v="1018"/>
    <x v="17"/>
    <x v="2"/>
    <x v="0"/>
    <n v="250"/>
    <n v="7.99"/>
    <n v="3.5"/>
    <n v="1997.5"/>
    <n v="1122.5"/>
  </r>
  <r>
    <n v="1019"/>
    <x v="18"/>
    <x v="5"/>
    <x v="1"/>
    <n v="140"/>
    <n v="12.99"/>
    <n v="5"/>
    <n v="1818.6000000000001"/>
    <n v="1118.6000000000001"/>
  </r>
  <r>
    <n v="1020"/>
    <x v="19"/>
    <x v="1"/>
    <x v="3"/>
    <n v="45"/>
    <n v="34.99"/>
    <n v="15"/>
    <n v="1574.5500000000002"/>
    <n v="899.55000000000018"/>
  </r>
  <r>
    <n v="1021"/>
    <x v="20"/>
    <x v="1"/>
    <x v="2"/>
    <n v="175"/>
    <n v="12.49"/>
    <n v="5.5"/>
    <n v="2185.75"/>
    <n v="1223.25"/>
  </r>
  <r>
    <n v="1022"/>
    <x v="21"/>
    <x v="1"/>
    <x v="0"/>
    <n v="90"/>
    <n v="13.99"/>
    <n v="6"/>
    <n v="1259.0999999999999"/>
    <n v="719.09999999999991"/>
  </r>
  <r>
    <n v="1023"/>
    <x v="22"/>
    <x v="1"/>
    <x v="1"/>
    <n v="65"/>
    <n v="27.99"/>
    <n v="12"/>
    <n v="1819.35"/>
    <n v="1039.3499999999999"/>
  </r>
  <r>
    <n v="1024"/>
    <x v="23"/>
    <x v="1"/>
    <x v="3"/>
    <n v="100"/>
    <n v="18.989999999999998"/>
    <n v="8"/>
    <n v="1898.9999999999998"/>
    <n v="1098.9999999999998"/>
  </r>
  <r>
    <n v="1025"/>
    <x v="24"/>
    <x v="5"/>
    <x v="2"/>
    <n v="135"/>
    <n v="9.49"/>
    <n v="3.5"/>
    <n v="1281.1500000000001"/>
    <n v="808.6500000000000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CAD3BF1-BC9C-4A40-99EE-E2B0B97EA626}"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showHeaders="0" outline="1" outlineData="1" multipleFieldFilters="0" chartFormat="18">
  <location ref="G6:H24" firstHeaderRow="1" firstDataRow="1" firstDataCol="1"/>
  <pivotFields count="9">
    <pivotField showAll="0" defaultSubtotal="0"/>
    <pivotField axis="axisRow" showAll="0" defaultSubtotal="0">
      <items count="25">
        <item x="9"/>
        <item x="23"/>
        <item x="12"/>
        <item x="24"/>
        <item x="4"/>
        <item x="8"/>
        <item x="1"/>
        <item x="10"/>
        <item x="20"/>
        <item x="5"/>
        <item x="2"/>
        <item x="6"/>
        <item x="13"/>
        <item x="11"/>
        <item x="22"/>
        <item x="14"/>
        <item x="0"/>
        <item x="18"/>
        <item x="19"/>
        <item x="3"/>
        <item x="21"/>
        <item x="15"/>
        <item x="16"/>
        <item x="17"/>
        <item x="7"/>
      </items>
    </pivotField>
    <pivotField showAll="0" defaultSubtotal="0">
      <items count="6">
        <item x="2"/>
        <item x="3"/>
        <item h="1" x="4"/>
        <item h="1" x="5"/>
        <item x="1"/>
        <item h="1" x="0"/>
      </items>
    </pivotField>
    <pivotField showAll="0" defaultSubtotal="0">
      <items count="4">
        <item x="3"/>
        <item x="0"/>
        <item x="2"/>
        <item x="1"/>
      </items>
    </pivotField>
    <pivotField showAll="0" defaultSubtotal="0"/>
    <pivotField numFmtId="44" showAll="0" defaultSubtotal="0"/>
    <pivotField numFmtId="44" showAll="0" defaultSubtotal="0"/>
    <pivotField dataField="1" numFmtId="44" showAll="0" defaultSubtotal="0"/>
    <pivotField numFmtId="44" showAll="0" defaultSubtotal="0"/>
  </pivotFields>
  <rowFields count="1">
    <field x="1"/>
  </rowFields>
  <rowItems count="18">
    <i>
      <x v="1"/>
    </i>
    <i>
      <x v="2"/>
    </i>
    <i>
      <x v="4"/>
    </i>
    <i>
      <x v="5"/>
    </i>
    <i>
      <x v="6"/>
    </i>
    <i>
      <x v="7"/>
    </i>
    <i>
      <x v="8"/>
    </i>
    <i>
      <x v="9"/>
    </i>
    <i>
      <x v="10"/>
    </i>
    <i>
      <x v="11"/>
    </i>
    <i>
      <x v="12"/>
    </i>
    <i>
      <x v="13"/>
    </i>
    <i>
      <x v="14"/>
    </i>
    <i>
      <x v="18"/>
    </i>
    <i>
      <x v="19"/>
    </i>
    <i>
      <x v="20"/>
    </i>
    <i>
      <x v="22"/>
    </i>
    <i>
      <x v="23"/>
    </i>
  </rowItems>
  <colItems count="1">
    <i/>
  </colItems>
  <dataFields count="1">
    <dataField name="Sum of Revenue " fld="7" baseField="0" baseItem="0" numFmtId="44"/>
  </dataFields>
  <formats count="8">
    <format dxfId="27">
      <pivotArea type="all" dataOnly="0" outline="0" fieldPosition="0"/>
    </format>
    <format dxfId="26">
      <pivotArea outline="0" collapsedLevelsAreSubtotals="1" fieldPosition="0"/>
    </format>
    <format dxfId="25">
      <pivotArea dataOnly="0" labelOnly="1" fieldPosition="0">
        <references count="1">
          <reference field="1" count="18">
            <x v="1"/>
            <x v="2"/>
            <x v="4"/>
            <x v="5"/>
            <x v="6"/>
            <x v="7"/>
            <x v="8"/>
            <x v="9"/>
            <x v="10"/>
            <x v="11"/>
            <x v="12"/>
            <x v="13"/>
            <x v="14"/>
            <x v="18"/>
            <x v="19"/>
            <x v="20"/>
            <x v="22"/>
            <x v="23"/>
          </reference>
        </references>
      </pivotArea>
    </format>
    <format dxfId="24">
      <pivotArea dataOnly="0" labelOnly="1" outline="0" axis="axisValues" fieldPosition="0"/>
    </format>
    <format dxfId="23">
      <pivotArea type="all" dataOnly="0" outline="0" fieldPosition="0"/>
    </format>
    <format dxfId="22">
      <pivotArea outline="0" collapsedLevelsAreSubtotals="1" fieldPosition="0"/>
    </format>
    <format dxfId="21">
      <pivotArea dataOnly="0" labelOnly="1" fieldPosition="0">
        <references count="1">
          <reference field="1" count="18">
            <x v="1"/>
            <x v="2"/>
            <x v="4"/>
            <x v="5"/>
            <x v="6"/>
            <x v="7"/>
            <x v="8"/>
            <x v="9"/>
            <x v="10"/>
            <x v="11"/>
            <x v="12"/>
            <x v="13"/>
            <x v="14"/>
            <x v="18"/>
            <x v="19"/>
            <x v="20"/>
            <x v="22"/>
            <x v="23"/>
          </reference>
        </references>
      </pivotArea>
    </format>
    <format dxfId="2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59BBE08-7923-44DD-AAD7-78A8CC0B793B}"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A3:B21" firstHeaderRow="1" firstDataRow="1" firstDataCol="1" rowPageCount="1" colPageCount="1"/>
  <pivotFields count="9">
    <pivotField showAll="0"/>
    <pivotField axis="axisRow" showAll="0">
      <items count="26">
        <item x="9"/>
        <item x="23"/>
        <item x="12"/>
        <item x="24"/>
        <item x="4"/>
        <item x="8"/>
        <item x="1"/>
        <item x="10"/>
        <item x="20"/>
        <item x="5"/>
        <item x="2"/>
        <item x="6"/>
        <item x="13"/>
        <item x="11"/>
        <item x="22"/>
        <item x="14"/>
        <item x="0"/>
        <item x="18"/>
        <item x="19"/>
        <item x="3"/>
        <item x="21"/>
        <item x="15"/>
        <item x="16"/>
        <item x="17"/>
        <item x="7"/>
        <item t="default"/>
      </items>
    </pivotField>
    <pivotField axis="axisPage" multipleItemSelectionAllowed="1" showAll="0">
      <items count="7">
        <item x="2"/>
        <item x="3"/>
        <item h="1" x="4"/>
        <item h="1" x="5"/>
        <item x="1"/>
        <item h="1" x="0"/>
        <item t="default"/>
      </items>
    </pivotField>
    <pivotField showAll="0"/>
    <pivotField showAll="0"/>
    <pivotField numFmtId="44" showAll="0"/>
    <pivotField numFmtId="44" showAll="0"/>
    <pivotField dataField="1" numFmtId="44" showAll="0"/>
    <pivotField numFmtId="44" showAll="0"/>
  </pivotFields>
  <rowFields count="1">
    <field x="1"/>
  </rowFields>
  <rowItems count="18">
    <i>
      <x v="1"/>
    </i>
    <i>
      <x v="2"/>
    </i>
    <i>
      <x v="4"/>
    </i>
    <i>
      <x v="5"/>
    </i>
    <i>
      <x v="6"/>
    </i>
    <i>
      <x v="7"/>
    </i>
    <i>
      <x v="8"/>
    </i>
    <i>
      <x v="9"/>
    </i>
    <i>
      <x v="10"/>
    </i>
    <i>
      <x v="11"/>
    </i>
    <i>
      <x v="12"/>
    </i>
    <i>
      <x v="13"/>
    </i>
    <i>
      <x v="14"/>
    </i>
    <i>
      <x v="18"/>
    </i>
    <i>
      <x v="19"/>
    </i>
    <i>
      <x v="20"/>
    </i>
    <i>
      <x v="22"/>
    </i>
    <i>
      <x v="23"/>
    </i>
  </rowItems>
  <colItems count="1">
    <i/>
  </colItems>
  <pageFields count="1">
    <pageField fld="2" hier="-1"/>
  </pageFields>
  <dataFields count="1">
    <dataField name="Sum of Revenue " fld="7" baseField="0" baseItem="0" numFmtId="44"/>
  </dataFields>
  <formats count="10">
    <format dxfId="9">
      <pivotArea type="all" dataOnly="0" outline="0" fieldPosition="0"/>
    </format>
    <format dxfId="8">
      <pivotArea outline="0" collapsedLevelsAreSubtotals="1" fieldPosition="0"/>
    </format>
    <format dxfId="7">
      <pivotArea field="1" type="button" dataOnly="0" labelOnly="1" outline="0" axis="axisRow" fieldPosition="0"/>
    </format>
    <format dxfId="6">
      <pivotArea dataOnly="0" labelOnly="1" fieldPosition="0">
        <references count="1">
          <reference field="1" count="18">
            <x v="1"/>
            <x v="2"/>
            <x v="4"/>
            <x v="5"/>
            <x v="6"/>
            <x v="7"/>
            <x v="8"/>
            <x v="9"/>
            <x v="10"/>
            <x v="11"/>
            <x v="12"/>
            <x v="13"/>
            <x v="14"/>
            <x v="18"/>
            <x v="19"/>
            <x v="20"/>
            <x v="22"/>
            <x v="23"/>
          </reference>
        </references>
      </pivotArea>
    </format>
    <format dxfId="5">
      <pivotArea dataOnly="0" labelOnly="1" outline="0" axis="axisValues" fieldPosition="0"/>
    </format>
    <format dxfId="4">
      <pivotArea type="all" dataOnly="0" outline="0" fieldPosition="0"/>
    </format>
    <format dxfId="3">
      <pivotArea outline="0" collapsedLevelsAreSubtotals="1" fieldPosition="0"/>
    </format>
    <format dxfId="2">
      <pivotArea field="1" type="button" dataOnly="0" labelOnly="1" outline="0" axis="axisRow" fieldPosition="0"/>
    </format>
    <format dxfId="1">
      <pivotArea dataOnly="0" labelOnly="1" fieldPosition="0">
        <references count="1">
          <reference field="1" count="18">
            <x v="1"/>
            <x v="2"/>
            <x v="4"/>
            <x v="5"/>
            <x v="6"/>
            <x v="7"/>
            <x v="8"/>
            <x v="9"/>
            <x v="10"/>
            <x v="11"/>
            <x v="12"/>
            <x v="13"/>
            <x v="14"/>
            <x v="18"/>
            <x v="19"/>
            <x v="20"/>
            <x v="22"/>
            <x v="23"/>
          </reference>
        </references>
      </pivotArea>
    </format>
    <format dxfId="0">
      <pivotArea dataOnly="0" labelOnly="1" outline="0" axis="axisValues" fieldPosition="0"/>
    </format>
  </formats>
  <chartFormats count="1">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E85FA67-229A-4601-A853-512ADAD1A7F9}"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
  <location ref="D3:E7" firstHeaderRow="1" firstDataRow="1" firstDataCol="1"/>
  <pivotFields count="9">
    <pivotField showAll="0"/>
    <pivotField showAll="0"/>
    <pivotField showAll="0">
      <items count="7">
        <item x="2"/>
        <item x="3"/>
        <item h="1" x="4"/>
        <item h="1" x="5"/>
        <item x="1"/>
        <item h="1" x="0"/>
        <item t="default"/>
      </items>
    </pivotField>
    <pivotField axis="axisRow" showAll="0">
      <items count="5">
        <item x="3"/>
        <item x="0"/>
        <item x="2"/>
        <item x="1"/>
        <item t="default"/>
      </items>
    </pivotField>
    <pivotField showAll="0"/>
    <pivotField numFmtId="44" showAll="0"/>
    <pivotField numFmtId="44" showAll="0"/>
    <pivotField dataField="1" numFmtId="44" showAll="0"/>
    <pivotField numFmtId="44" showAll="0"/>
  </pivotFields>
  <rowFields count="1">
    <field x="3"/>
  </rowFields>
  <rowItems count="4">
    <i>
      <x/>
    </i>
    <i>
      <x v="1"/>
    </i>
    <i>
      <x v="2"/>
    </i>
    <i>
      <x v="3"/>
    </i>
  </rowItems>
  <colItems count="1">
    <i/>
  </colItems>
  <dataFields count="1">
    <dataField name="Sum of Revenue " fld="7" baseField="0" baseItem="0" numFmtId="44"/>
  </dataFields>
  <formats count="10">
    <format dxfId="19">
      <pivotArea type="all" dataOnly="0" outline="0" fieldPosition="0"/>
    </format>
    <format dxfId="18">
      <pivotArea outline="0" collapsedLevelsAreSubtotals="1" fieldPosition="0"/>
    </format>
    <format dxfId="17">
      <pivotArea field="3" type="button" dataOnly="0" labelOnly="1" outline="0" axis="axisRow" fieldPosition="0"/>
    </format>
    <format dxfId="16">
      <pivotArea dataOnly="0" labelOnly="1" fieldPosition="0">
        <references count="1">
          <reference field="3" count="0"/>
        </references>
      </pivotArea>
    </format>
    <format dxfId="15">
      <pivotArea dataOnly="0" labelOnly="1" outline="0" axis="axisValues" fieldPosition="0"/>
    </format>
    <format dxfId="14">
      <pivotArea type="all" dataOnly="0" outline="0" fieldPosition="0"/>
    </format>
    <format dxfId="13">
      <pivotArea outline="0" collapsedLevelsAreSubtotals="1" fieldPosition="0"/>
    </format>
    <format dxfId="12">
      <pivotArea field="3" type="button" dataOnly="0" labelOnly="1" outline="0" axis="axisRow" fieldPosition="0"/>
    </format>
    <format dxfId="11">
      <pivotArea dataOnly="0" labelOnly="1" fieldPosition="0">
        <references count="1">
          <reference field="3" count="0"/>
        </references>
      </pivotArea>
    </format>
    <format dxfId="10">
      <pivotArea dataOnly="0" labelOnly="1" outline="0" axis="axisValues" fieldPosition="0"/>
    </format>
  </formats>
  <chartFormats count="1">
    <chartFormat chart="4"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62E8D1E-F0E5-4DB5-94BC-5F31DC960809}" sourceName="Category ">
  <pivotTables>
    <pivotTable tabId="3" name="PivotTable1"/>
    <pivotTable tabId="4" name="PivotTable2"/>
    <pivotTable tabId="4" name="PivotTable3"/>
  </pivotTables>
  <data>
    <tabular pivotCacheId="394499011">
      <items count="6">
        <i x="2" s="1"/>
        <i x="3" s="1"/>
        <i x="4"/>
        <i x="5"/>
        <i x="1" s="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 xr10:uid="{36608CDD-2818-470D-9490-B5BFF0831C4F}" cache="Slicer_Category" caption="Category "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E888638-6AB9-440B-829C-4F0C1A9964D9}" name="Table3" displayName="Table3" ref="A1:I26" totalsRowShown="0" headerRowDxfId="38" dataDxfId="37">
  <autoFilter ref="A1:I26" xr:uid="{8E888638-6AB9-440B-829C-4F0C1A9964D9}"/>
  <tableColumns count="9">
    <tableColumn id="1" xr3:uid="{38D21B48-357A-47BE-8F7B-C4735D31B0E1}" name="Order ID" dataDxfId="36"/>
    <tableColumn id="2" xr3:uid="{DE2F1831-080E-4A85-A4DB-E0C5B8B64095}" name="Product" dataDxfId="35"/>
    <tableColumn id="3" xr3:uid="{076604E3-DD69-409D-862C-66DF01EBDC2C}" name="Category " dataDxfId="34"/>
    <tableColumn id="4" xr3:uid="{CF35FE85-C231-4369-9A14-49668224F4FE}" name="Region " dataDxfId="33"/>
    <tableColumn id="5" xr3:uid="{4272FC76-5716-40D0-80C5-1DD34550E15C}" name="Units Sold" dataDxfId="32"/>
    <tableColumn id="6" xr3:uid="{FBA34CBB-94E0-494B-B43D-36DE0CF69130}" name="Unit Price" dataDxfId="31" dataCellStyle="Currency"/>
    <tableColumn id="7" xr3:uid="{32A4F80F-80B1-4A91-8EBB-D838D025B1C5}" name="Cost per Unit" dataDxfId="30" dataCellStyle="Currency"/>
    <tableColumn id="8" xr3:uid="{93B8BE45-CD06-44A5-94FB-30CF7E2ECDBD}" name="Revenue " dataDxfId="29">
      <calculatedColumnFormula>E2*F2</calculatedColumnFormula>
    </tableColumn>
    <tableColumn id="9" xr3:uid="{58EF4477-2357-4F2A-AF5D-9507D79625AB}" name="Profit" dataDxfId="28">
      <calculatedColumnFormula>(E2*F2)-(E2*G2)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5.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23"/>
  <sheetViews>
    <sheetView showGridLines="0" tabSelected="1" zoomScaleNormal="100" workbookViewId="0">
      <selection activeCell="I4" sqref="I4"/>
    </sheetView>
  </sheetViews>
  <sheetFormatPr defaultRowHeight="14.4" x14ac:dyDescent="0.3"/>
  <cols>
    <col min="1" max="1" width="31.6640625" style="2" customWidth="1"/>
    <col min="2" max="2" width="52.21875" style="2" bestFit="1" customWidth="1"/>
    <col min="3" max="16384" width="8.88671875" style="2"/>
  </cols>
  <sheetData>
    <row r="1" spans="1:21" ht="37.200000000000003" thickBot="1" x14ac:dyDescent="0.75">
      <c r="A1" s="3" t="s">
        <v>100</v>
      </c>
      <c r="B1" s="4"/>
      <c r="C1" s="4"/>
      <c r="D1" s="4"/>
      <c r="E1" s="4"/>
      <c r="F1" s="4"/>
      <c r="G1" s="4"/>
      <c r="H1" s="4"/>
      <c r="I1" s="4"/>
      <c r="J1" s="4"/>
      <c r="K1" s="4"/>
      <c r="L1" s="5"/>
      <c r="M1" s="5"/>
      <c r="N1" s="5"/>
      <c r="O1" s="5"/>
      <c r="P1" s="5"/>
      <c r="Q1" s="6"/>
      <c r="R1" s="1"/>
      <c r="S1" s="1"/>
      <c r="T1" s="1"/>
      <c r="U1" s="1"/>
    </row>
    <row r="2" spans="1:21" ht="15" thickBot="1" x14ac:dyDescent="0.35"/>
    <row r="3" spans="1:21" ht="18" x14ac:dyDescent="0.35">
      <c r="A3" s="7" t="s">
        <v>0</v>
      </c>
      <c r="B3" s="8" t="s">
        <v>5</v>
      </c>
    </row>
    <row r="4" spans="1:21" ht="18" x14ac:dyDescent="0.35">
      <c r="A4" s="9" t="s">
        <v>1</v>
      </c>
      <c r="B4" s="10" t="s">
        <v>6</v>
      </c>
    </row>
    <row r="5" spans="1:21" ht="18" x14ac:dyDescent="0.35">
      <c r="A5" s="9" t="s">
        <v>2</v>
      </c>
      <c r="B5" s="10" t="s">
        <v>7</v>
      </c>
    </row>
    <row r="6" spans="1:21" ht="18" x14ac:dyDescent="0.35">
      <c r="A6" s="11" t="s">
        <v>3</v>
      </c>
      <c r="B6" s="12">
        <f ca="1">NOW()</f>
        <v>46029.939489930555</v>
      </c>
    </row>
    <row r="7" spans="1:21" ht="18.600000000000001" thickBot="1" x14ac:dyDescent="0.4">
      <c r="A7" s="13" t="s">
        <v>4</v>
      </c>
      <c r="B7" s="14" t="s">
        <v>8</v>
      </c>
    </row>
    <row r="9" spans="1:21" ht="18" x14ac:dyDescent="0.35">
      <c r="A9" s="53" t="s">
        <v>9</v>
      </c>
      <c r="B9" s="54"/>
    </row>
    <row r="10" spans="1:21" ht="18" x14ac:dyDescent="0.35">
      <c r="A10" s="15" t="s">
        <v>10</v>
      </c>
      <c r="B10" s="16" t="s">
        <v>18</v>
      </c>
    </row>
    <row r="11" spans="1:21" ht="18" x14ac:dyDescent="0.3">
      <c r="A11" s="17" t="s">
        <v>11</v>
      </c>
      <c r="B11" s="18" t="s">
        <v>19</v>
      </c>
    </row>
    <row r="12" spans="1:21" ht="18" x14ac:dyDescent="0.35">
      <c r="A12" s="19" t="s">
        <v>12</v>
      </c>
      <c r="B12" s="16" t="s">
        <v>20</v>
      </c>
    </row>
    <row r="13" spans="1:21" ht="18" x14ac:dyDescent="0.35">
      <c r="A13" s="20" t="s">
        <v>13</v>
      </c>
      <c r="B13" s="21" t="s">
        <v>21</v>
      </c>
      <c r="D13" s="55" t="s">
        <v>26</v>
      </c>
      <c r="E13" s="56"/>
      <c r="F13" s="56"/>
      <c r="G13" s="56"/>
      <c r="H13" s="56"/>
      <c r="I13" s="56"/>
      <c r="J13" s="56"/>
      <c r="K13" s="56"/>
      <c r="L13" s="56"/>
      <c r="M13" s="56"/>
      <c r="N13" s="56"/>
      <c r="O13" s="57"/>
    </row>
    <row r="14" spans="1:21" ht="18" x14ac:dyDescent="0.35">
      <c r="A14" s="20" t="s">
        <v>14</v>
      </c>
      <c r="B14" s="21" t="s">
        <v>22</v>
      </c>
      <c r="D14" s="58"/>
      <c r="E14" s="59"/>
      <c r="F14" s="59"/>
      <c r="G14" s="59"/>
      <c r="H14" s="59"/>
      <c r="I14" s="59"/>
      <c r="J14" s="59"/>
      <c r="K14" s="59"/>
      <c r="L14" s="59"/>
      <c r="M14" s="59"/>
      <c r="N14" s="59"/>
      <c r="O14" s="60"/>
    </row>
    <row r="15" spans="1:21" ht="18" x14ac:dyDescent="0.35">
      <c r="A15" s="20" t="s">
        <v>15</v>
      </c>
      <c r="B15" s="21" t="s">
        <v>23</v>
      </c>
      <c r="D15" s="58"/>
      <c r="E15" s="59"/>
      <c r="F15" s="59"/>
      <c r="G15" s="59"/>
      <c r="H15" s="59"/>
      <c r="I15" s="59"/>
      <c r="J15" s="59"/>
      <c r="K15" s="59"/>
      <c r="L15" s="59"/>
      <c r="M15" s="59"/>
      <c r="N15" s="59"/>
      <c r="O15" s="60"/>
    </row>
    <row r="16" spans="1:21" ht="18" x14ac:dyDescent="0.35">
      <c r="A16" s="20" t="s">
        <v>16</v>
      </c>
      <c r="B16" s="21" t="s">
        <v>24</v>
      </c>
      <c r="D16" s="58"/>
      <c r="E16" s="59"/>
      <c r="F16" s="59"/>
      <c r="G16" s="59"/>
      <c r="H16" s="59"/>
      <c r="I16" s="59"/>
      <c r="J16" s="59"/>
      <c r="K16" s="59"/>
      <c r="L16" s="59"/>
      <c r="M16" s="59"/>
      <c r="N16" s="59"/>
      <c r="O16" s="60"/>
    </row>
    <row r="17" spans="1:15" ht="18" x14ac:dyDescent="0.35">
      <c r="A17" s="22" t="s">
        <v>17</v>
      </c>
      <c r="B17" s="23" t="s">
        <v>25</v>
      </c>
      <c r="D17" s="61"/>
      <c r="E17" s="62"/>
      <c r="F17" s="62"/>
      <c r="G17" s="62"/>
      <c r="H17" s="62"/>
      <c r="I17" s="62"/>
      <c r="J17" s="62"/>
      <c r="K17" s="62"/>
      <c r="L17" s="62"/>
      <c r="M17" s="62"/>
      <c r="N17" s="62"/>
      <c r="O17" s="63"/>
    </row>
    <row r="18" spans="1:15" ht="15" thickBot="1" x14ac:dyDescent="0.35"/>
    <row r="19" spans="1:15" ht="14.4" customHeight="1" x14ac:dyDescent="0.3">
      <c r="A19" s="24"/>
      <c r="B19" s="25"/>
      <c r="C19" s="25"/>
      <c r="D19" s="25"/>
      <c r="E19" s="25"/>
      <c r="F19" s="25"/>
      <c r="G19" s="25"/>
      <c r="H19" s="26"/>
    </row>
    <row r="20" spans="1:15" ht="14.4" customHeight="1" x14ac:dyDescent="0.3">
      <c r="A20" s="27"/>
      <c r="B20" s="28"/>
      <c r="C20" s="28"/>
      <c r="D20" s="28"/>
      <c r="E20" s="28"/>
      <c r="F20" s="28"/>
      <c r="G20" s="28"/>
      <c r="H20" s="29"/>
    </row>
    <row r="21" spans="1:15" ht="14.4" customHeight="1" x14ac:dyDescent="0.3">
      <c r="A21" s="27"/>
      <c r="B21" s="28"/>
      <c r="C21" s="28"/>
      <c r="D21" s="28"/>
      <c r="E21" s="28"/>
      <c r="F21" s="28"/>
      <c r="G21" s="28"/>
      <c r="H21" s="29"/>
    </row>
    <row r="22" spans="1:15" ht="14.4" customHeight="1" x14ac:dyDescent="0.3">
      <c r="A22" s="27"/>
      <c r="B22" s="28"/>
      <c r="C22" s="28"/>
      <c r="D22" s="28"/>
      <c r="E22" s="28"/>
      <c r="F22" s="28"/>
      <c r="G22" s="28"/>
      <c r="H22" s="29"/>
    </row>
    <row r="23" spans="1:15" ht="15" customHeight="1" thickBot="1" x14ac:dyDescent="0.35">
      <c r="A23" s="30"/>
      <c r="B23" s="31"/>
      <c r="C23" s="31"/>
      <c r="D23" s="31"/>
      <c r="E23" s="31"/>
      <c r="F23" s="31"/>
      <c r="G23" s="31"/>
      <c r="H23" s="32"/>
    </row>
  </sheetData>
  <mergeCells count="2">
    <mergeCell ref="A9:B9"/>
    <mergeCell ref="D13:O1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Module1.GoToDashboard">
                <anchor moveWithCells="1" sizeWithCells="1">
                  <from>
                    <xdr:col>4</xdr:col>
                    <xdr:colOff>15240</xdr:colOff>
                    <xdr:row>2</xdr:row>
                    <xdr:rowOff>129540</xdr:rowOff>
                  </from>
                  <to>
                    <xdr:col>6</xdr:col>
                    <xdr:colOff>251460</xdr:colOff>
                    <xdr:row>4</xdr:row>
                    <xdr:rowOff>106680</xdr:rowOff>
                  </to>
                </anchor>
              </controlPr>
            </control>
          </mc:Choice>
        </mc:AlternateContent>
        <mc:AlternateContent xmlns:mc="http://schemas.openxmlformats.org/markup-compatibility/2006">
          <mc:Choice Requires="x14">
            <control shapeId="1026" r:id="rId4" name="Button 2">
              <controlPr defaultSize="0" print="0" autoFill="0" autoPict="0" macro="[0]!Module1.GoToSalesAnalysis">
                <anchor moveWithCells="1" sizeWithCells="1">
                  <from>
                    <xdr:col>4</xdr:col>
                    <xdr:colOff>15240</xdr:colOff>
                    <xdr:row>4</xdr:row>
                    <xdr:rowOff>152400</xdr:rowOff>
                  </from>
                  <to>
                    <xdr:col>6</xdr:col>
                    <xdr:colOff>251460</xdr:colOff>
                    <xdr:row>6</xdr:row>
                    <xdr:rowOff>129540</xdr:rowOff>
                  </to>
                </anchor>
              </controlPr>
            </control>
          </mc:Choice>
        </mc:AlternateContent>
        <mc:AlternateContent xmlns:mc="http://schemas.openxmlformats.org/markup-compatibility/2006">
          <mc:Choice Requires="x14">
            <control shapeId="1027" r:id="rId5" name="Button 3">
              <controlPr defaultSize="0" print="0" autoFill="0" autoPict="0" macro="[0]!Module1.GoToOptimization">
                <anchor moveWithCells="1" sizeWithCells="1">
                  <from>
                    <xdr:col>4</xdr:col>
                    <xdr:colOff>7620</xdr:colOff>
                    <xdr:row>6</xdr:row>
                    <xdr:rowOff>167640</xdr:rowOff>
                  </from>
                  <to>
                    <xdr:col>6</xdr:col>
                    <xdr:colOff>251460</xdr:colOff>
                    <xdr:row>8</xdr:row>
                    <xdr:rowOff>190500</xdr:rowOff>
                  </to>
                </anchor>
              </controlPr>
            </control>
          </mc:Choice>
        </mc:AlternateContent>
        <mc:AlternateContent xmlns:mc="http://schemas.openxmlformats.org/markup-compatibility/2006">
          <mc:Choice Requires="x14">
            <control shapeId="1028" r:id="rId6" name="Button 4">
              <controlPr defaultSize="0" print="0" autoFill="0" autoPict="0" macro="[0]!Module1.GoToAutomationControls">
                <anchor moveWithCells="1" sizeWithCells="1">
                  <from>
                    <xdr:col>3</xdr:col>
                    <xdr:colOff>601980</xdr:colOff>
                    <xdr:row>9</xdr:row>
                    <xdr:rowOff>22860</xdr:rowOff>
                  </from>
                  <to>
                    <xdr:col>6</xdr:col>
                    <xdr:colOff>259080</xdr:colOff>
                    <xdr:row>11</xdr:row>
                    <xdr:rowOff>91440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81032-14DB-477F-8AEE-49B1DAAF7432}">
  <sheetPr codeName="Sheet2"/>
  <dimension ref="A1:I26"/>
  <sheetViews>
    <sheetView showGridLines="0" zoomScaleNormal="100" workbookViewId="0">
      <pane ySplit="1" topLeftCell="A2" activePane="bottomLeft" state="frozen"/>
      <selection pane="bottomLeft"/>
    </sheetView>
  </sheetViews>
  <sheetFormatPr defaultColWidth="20.77734375" defaultRowHeight="14.4" x14ac:dyDescent="0.3"/>
  <cols>
    <col min="1" max="16384" width="20.77734375" style="40"/>
  </cols>
  <sheetData>
    <row r="1" spans="1:9" x14ac:dyDescent="0.3">
      <c r="A1" s="51" t="s">
        <v>27</v>
      </c>
      <c r="B1" s="51" t="s">
        <v>28</v>
      </c>
      <c r="C1" s="51" t="s">
        <v>29</v>
      </c>
      <c r="D1" s="51" t="s">
        <v>30</v>
      </c>
      <c r="E1" s="51" t="s">
        <v>31</v>
      </c>
      <c r="F1" s="51" t="s">
        <v>32</v>
      </c>
      <c r="G1" s="51" t="s">
        <v>33</v>
      </c>
      <c r="H1" s="51" t="s">
        <v>34</v>
      </c>
      <c r="I1" s="51" t="s">
        <v>35</v>
      </c>
    </row>
    <row r="2" spans="1:9" x14ac:dyDescent="0.3">
      <c r="A2" s="40">
        <v>1001</v>
      </c>
      <c r="B2" s="40" t="s">
        <v>36</v>
      </c>
      <c r="C2" s="40" t="s">
        <v>37</v>
      </c>
      <c r="D2" s="40" t="s">
        <v>38</v>
      </c>
      <c r="E2" s="40">
        <v>120</v>
      </c>
      <c r="F2" s="52">
        <v>9.99</v>
      </c>
      <c r="G2" s="52">
        <v>4</v>
      </c>
      <c r="H2" s="49">
        <f>E2*F2</f>
        <v>1198.8</v>
      </c>
      <c r="I2" s="49">
        <f>(E2*F2)-(E2*G2)</f>
        <v>718.8</v>
      </c>
    </row>
    <row r="3" spans="1:9" x14ac:dyDescent="0.3">
      <c r="A3" s="40">
        <v>1002</v>
      </c>
      <c r="B3" s="40" t="s">
        <v>39</v>
      </c>
      <c r="C3" s="40" t="s">
        <v>40</v>
      </c>
      <c r="D3" s="40" t="s">
        <v>41</v>
      </c>
      <c r="E3" s="40">
        <v>80</v>
      </c>
      <c r="F3" s="52">
        <v>14.99</v>
      </c>
      <c r="G3" s="52">
        <v>7</v>
      </c>
      <c r="H3" s="49">
        <f t="shared" ref="H3:H26" si="0">E3*F3</f>
        <v>1199.2</v>
      </c>
      <c r="I3" s="49">
        <f t="shared" ref="I3:I26" si="1">(E3*F3)-(E3*G3)</f>
        <v>639.20000000000005</v>
      </c>
    </row>
    <row r="4" spans="1:9" x14ac:dyDescent="0.3">
      <c r="A4" s="40">
        <v>1003</v>
      </c>
      <c r="B4" s="40" t="s">
        <v>44</v>
      </c>
      <c r="C4" s="40" t="s">
        <v>42</v>
      </c>
      <c r="D4" s="40" t="s">
        <v>43</v>
      </c>
      <c r="E4" s="40">
        <v>200</v>
      </c>
      <c r="F4" s="52">
        <v>6.99</v>
      </c>
      <c r="G4" s="52">
        <v>3</v>
      </c>
      <c r="H4" s="49">
        <f t="shared" si="0"/>
        <v>1398</v>
      </c>
      <c r="I4" s="49">
        <f t="shared" si="1"/>
        <v>798</v>
      </c>
    </row>
    <row r="5" spans="1:9" x14ac:dyDescent="0.3">
      <c r="A5" s="40">
        <v>1004</v>
      </c>
      <c r="B5" s="40" t="s">
        <v>45</v>
      </c>
      <c r="C5" s="40" t="s">
        <v>46</v>
      </c>
      <c r="D5" s="40" t="s">
        <v>47</v>
      </c>
      <c r="E5" s="40">
        <v>95</v>
      </c>
      <c r="F5" s="52">
        <v>19.989999999999998</v>
      </c>
      <c r="G5" s="52">
        <v>9</v>
      </c>
      <c r="H5" s="49">
        <f t="shared" si="0"/>
        <v>1899.05</v>
      </c>
      <c r="I5" s="49">
        <f t="shared" si="1"/>
        <v>1044.05</v>
      </c>
    </row>
    <row r="6" spans="1:9" x14ac:dyDescent="0.3">
      <c r="A6" s="40">
        <v>1005</v>
      </c>
      <c r="B6" s="40" t="s">
        <v>48</v>
      </c>
      <c r="C6" s="40" t="s">
        <v>40</v>
      </c>
      <c r="D6" s="40" t="s">
        <v>38</v>
      </c>
      <c r="E6" s="40">
        <v>150</v>
      </c>
      <c r="F6" s="52">
        <v>12.99</v>
      </c>
      <c r="G6" s="52">
        <v>5</v>
      </c>
      <c r="H6" s="49">
        <f t="shared" si="0"/>
        <v>1948.5</v>
      </c>
      <c r="I6" s="49">
        <f t="shared" si="1"/>
        <v>1198.5</v>
      </c>
    </row>
    <row r="7" spans="1:9" x14ac:dyDescent="0.3">
      <c r="A7" s="40">
        <v>1006</v>
      </c>
      <c r="B7" s="40" t="s">
        <v>49</v>
      </c>
      <c r="C7" s="40" t="s">
        <v>40</v>
      </c>
      <c r="D7" s="40" t="s">
        <v>41</v>
      </c>
      <c r="E7" s="40">
        <v>110</v>
      </c>
      <c r="F7" s="52">
        <v>8.99</v>
      </c>
      <c r="G7" s="52">
        <v>3.5</v>
      </c>
      <c r="H7" s="49">
        <f t="shared" si="0"/>
        <v>988.9</v>
      </c>
      <c r="I7" s="49">
        <f t="shared" si="1"/>
        <v>603.9</v>
      </c>
    </row>
    <row r="8" spans="1:9" x14ac:dyDescent="0.3">
      <c r="A8" s="40">
        <v>1007</v>
      </c>
      <c r="B8" s="40" t="s">
        <v>50</v>
      </c>
      <c r="C8" s="40" t="s">
        <v>40</v>
      </c>
      <c r="D8" s="40" t="s">
        <v>43</v>
      </c>
      <c r="E8" s="40">
        <v>90</v>
      </c>
      <c r="F8" s="52">
        <v>11.99</v>
      </c>
      <c r="G8" s="52">
        <v>5.5</v>
      </c>
      <c r="H8" s="49">
        <f t="shared" si="0"/>
        <v>1079.0999999999999</v>
      </c>
      <c r="I8" s="49">
        <f t="shared" si="1"/>
        <v>584.09999999999991</v>
      </c>
    </row>
    <row r="9" spans="1:9" x14ac:dyDescent="0.3">
      <c r="A9" s="40">
        <v>1008</v>
      </c>
      <c r="B9" s="40" t="s">
        <v>51</v>
      </c>
      <c r="C9" s="40" t="s">
        <v>52</v>
      </c>
      <c r="D9" s="40" t="s">
        <v>47</v>
      </c>
      <c r="E9" s="40">
        <v>140</v>
      </c>
      <c r="F9" s="52">
        <v>16.989999999999998</v>
      </c>
      <c r="G9" s="52">
        <v>7.5</v>
      </c>
      <c r="H9" s="49">
        <f t="shared" si="0"/>
        <v>2378.6</v>
      </c>
      <c r="I9" s="49">
        <f t="shared" si="1"/>
        <v>1328.6</v>
      </c>
    </row>
    <row r="10" spans="1:9" x14ac:dyDescent="0.3">
      <c r="A10" s="40">
        <v>1009</v>
      </c>
      <c r="B10" s="40" t="s">
        <v>53</v>
      </c>
      <c r="C10" s="40" t="s">
        <v>40</v>
      </c>
      <c r="D10" s="40" t="s">
        <v>43</v>
      </c>
      <c r="E10" s="40">
        <v>300</v>
      </c>
      <c r="F10" s="52">
        <v>4.99</v>
      </c>
      <c r="G10" s="52">
        <v>2</v>
      </c>
      <c r="H10" s="49">
        <f t="shared" si="0"/>
        <v>1497</v>
      </c>
      <c r="I10" s="49">
        <f t="shared" si="1"/>
        <v>897</v>
      </c>
    </row>
    <row r="11" spans="1:9" x14ac:dyDescent="0.3">
      <c r="A11" s="40">
        <v>1010</v>
      </c>
      <c r="B11" s="40" t="s">
        <v>54</v>
      </c>
      <c r="C11" s="40" t="s">
        <v>37</v>
      </c>
      <c r="D11" s="40" t="s">
        <v>38</v>
      </c>
      <c r="E11" s="40">
        <v>130</v>
      </c>
      <c r="F11" s="52">
        <v>8.99</v>
      </c>
      <c r="G11" s="52">
        <v>3</v>
      </c>
      <c r="H11" s="49">
        <f t="shared" si="0"/>
        <v>1168.7</v>
      </c>
      <c r="I11" s="49">
        <f t="shared" si="1"/>
        <v>778.7</v>
      </c>
    </row>
    <row r="12" spans="1:9" x14ac:dyDescent="0.3">
      <c r="A12" s="40">
        <v>1011</v>
      </c>
      <c r="B12" s="40" t="s">
        <v>55</v>
      </c>
      <c r="C12" s="40" t="s">
        <v>40</v>
      </c>
      <c r="D12" s="40" t="s">
        <v>41</v>
      </c>
      <c r="E12" s="40">
        <v>85</v>
      </c>
      <c r="F12" s="52">
        <v>10.99</v>
      </c>
      <c r="G12" s="52">
        <v>4.5</v>
      </c>
      <c r="H12" s="49">
        <f t="shared" si="0"/>
        <v>934.15</v>
      </c>
      <c r="I12" s="49">
        <f t="shared" si="1"/>
        <v>551.65</v>
      </c>
    </row>
    <row r="13" spans="1:9" x14ac:dyDescent="0.3">
      <c r="A13" s="40">
        <v>1012</v>
      </c>
      <c r="B13" s="40" t="s">
        <v>56</v>
      </c>
      <c r="C13" s="40" t="s">
        <v>46</v>
      </c>
      <c r="D13" s="40" t="s">
        <v>43</v>
      </c>
      <c r="E13" s="40">
        <v>70</v>
      </c>
      <c r="F13" s="52">
        <v>15.99</v>
      </c>
      <c r="G13" s="52">
        <v>6</v>
      </c>
      <c r="H13" s="49">
        <f t="shared" si="0"/>
        <v>1119.3</v>
      </c>
      <c r="I13" s="49">
        <f t="shared" si="1"/>
        <v>699.3</v>
      </c>
    </row>
    <row r="14" spans="1:9" x14ac:dyDescent="0.3">
      <c r="A14" s="40">
        <v>1013</v>
      </c>
      <c r="B14" s="40" t="s">
        <v>57</v>
      </c>
      <c r="C14" s="40" t="s">
        <v>46</v>
      </c>
      <c r="D14" s="40" t="s">
        <v>47</v>
      </c>
      <c r="E14" s="40">
        <v>60</v>
      </c>
      <c r="F14" s="52">
        <v>24.99</v>
      </c>
      <c r="G14" s="52">
        <v>11</v>
      </c>
      <c r="H14" s="49">
        <f t="shared" si="0"/>
        <v>1499.3999999999999</v>
      </c>
      <c r="I14" s="49">
        <f t="shared" si="1"/>
        <v>839.39999999999986</v>
      </c>
    </row>
    <row r="15" spans="1:9" x14ac:dyDescent="0.3">
      <c r="A15" s="40">
        <v>1014</v>
      </c>
      <c r="B15" s="40" t="s">
        <v>58</v>
      </c>
      <c r="C15" s="40" t="s">
        <v>40</v>
      </c>
      <c r="D15" s="40" t="s">
        <v>38</v>
      </c>
      <c r="E15" s="40">
        <v>200</v>
      </c>
      <c r="F15" s="52">
        <v>5.99</v>
      </c>
      <c r="G15" s="52">
        <v>2</v>
      </c>
      <c r="H15" s="49">
        <f t="shared" si="0"/>
        <v>1198</v>
      </c>
      <c r="I15" s="49">
        <f t="shared" si="1"/>
        <v>798</v>
      </c>
    </row>
    <row r="16" spans="1:9" x14ac:dyDescent="0.3">
      <c r="A16" s="40">
        <v>1015</v>
      </c>
      <c r="B16" s="40" t="s">
        <v>59</v>
      </c>
      <c r="C16" s="40" t="s">
        <v>60</v>
      </c>
      <c r="D16" s="40" t="s">
        <v>41</v>
      </c>
      <c r="E16" s="40">
        <v>55</v>
      </c>
      <c r="F16" s="52">
        <v>22.99</v>
      </c>
      <c r="G16" s="52">
        <v>10</v>
      </c>
      <c r="H16" s="49">
        <f t="shared" si="0"/>
        <v>1264.4499999999998</v>
      </c>
      <c r="I16" s="49">
        <f t="shared" si="1"/>
        <v>714.44999999999982</v>
      </c>
    </row>
    <row r="17" spans="1:9" x14ac:dyDescent="0.3">
      <c r="A17" s="40">
        <v>1016</v>
      </c>
      <c r="B17" s="40" t="s">
        <v>61</v>
      </c>
      <c r="C17" s="40" t="s">
        <v>60</v>
      </c>
      <c r="D17" s="40" t="s">
        <v>43</v>
      </c>
      <c r="E17" s="40">
        <v>160</v>
      </c>
      <c r="F17" s="52">
        <v>9.99</v>
      </c>
      <c r="G17" s="52">
        <v>4</v>
      </c>
      <c r="H17" s="49">
        <f t="shared" si="0"/>
        <v>1598.4</v>
      </c>
      <c r="I17" s="49">
        <f t="shared" si="1"/>
        <v>958.40000000000009</v>
      </c>
    </row>
    <row r="18" spans="1:9" x14ac:dyDescent="0.3">
      <c r="A18" s="40">
        <v>1017</v>
      </c>
      <c r="B18" s="40" t="s">
        <v>62</v>
      </c>
      <c r="C18" s="40" t="s">
        <v>40</v>
      </c>
      <c r="D18" s="40" t="s">
        <v>47</v>
      </c>
      <c r="E18" s="40">
        <v>50</v>
      </c>
      <c r="F18" s="52">
        <v>29.99</v>
      </c>
      <c r="G18" s="52">
        <v>13</v>
      </c>
      <c r="H18" s="49">
        <f t="shared" si="0"/>
        <v>1499.5</v>
      </c>
      <c r="I18" s="49">
        <f t="shared" si="1"/>
        <v>849.5</v>
      </c>
    </row>
    <row r="19" spans="1:9" x14ac:dyDescent="0.3">
      <c r="A19" s="40">
        <v>1018</v>
      </c>
      <c r="B19" s="40" t="s">
        <v>63</v>
      </c>
      <c r="C19" s="40" t="s">
        <v>42</v>
      </c>
      <c r="D19" s="40" t="s">
        <v>38</v>
      </c>
      <c r="E19" s="40">
        <v>250</v>
      </c>
      <c r="F19" s="52">
        <v>7.99</v>
      </c>
      <c r="G19" s="52">
        <v>3.5</v>
      </c>
      <c r="H19" s="49">
        <f t="shared" si="0"/>
        <v>1997.5</v>
      </c>
      <c r="I19" s="49">
        <f t="shared" si="1"/>
        <v>1122.5</v>
      </c>
    </row>
    <row r="20" spans="1:9" x14ac:dyDescent="0.3">
      <c r="A20" s="40">
        <v>1019</v>
      </c>
      <c r="B20" s="40" t="s">
        <v>64</v>
      </c>
      <c r="C20" s="40" t="s">
        <v>60</v>
      </c>
      <c r="D20" s="40" t="s">
        <v>41</v>
      </c>
      <c r="E20" s="40">
        <v>140</v>
      </c>
      <c r="F20" s="52">
        <v>12.99</v>
      </c>
      <c r="G20" s="52">
        <v>5</v>
      </c>
      <c r="H20" s="49">
        <f t="shared" si="0"/>
        <v>1818.6000000000001</v>
      </c>
      <c r="I20" s="49">
        <f t="shared" si="1"/>
        <v>1118.6000000000001</v>
      </c>
    </row>
    <row r="21" spans="1:9" x14ac:dyDescent="0.3">
      <c r="A21" s="40">
        <v>1020</v>
      </c>
      <c r="B21" s="40" t="s">
        <v>65</v>
      </c>
      <c r="C21" s="40" t="s">
        <v>40</v>
      </c>
      <c r="D21" s="40" t="s">
        <v>47</v>
      </c>
      <c r="E21" s="40">
        <v>45</v>
      </c>
      <c r="F21" s="52">
        <v>34.99</v>
      </c>
      <c r="G21" s="52">
        <v>15</v>
      </c>
      <c r="H21" s="49">
        <f t="shared" si="0"/>
        <v>1574.5500000000002</v>
      </c>
      <c r="I21" s="49">
        <f t="shared" si="1"/>
        <v>899.55000000000018</v>
      </c>
    </row>
    <row r="22" spans="1:9" x14ac:dyDescent="0.3">
      <c r="A22" s="40">
        <v>1021</v>
      </c>
      <c r="B22" s="40" t="s">
        <v>66</v>
      </c>
      <c r="C22" s="40" t="s">
        <v>40</v>
      </c>
      <c r="D22" s="40" t="s">
        <v>43</v>
      </c>
      <c r="E22" s="40">
        <v>175</v>
      </c>
      <c r="F22" s="52">
        <v>12.49</v>
      </c>
      <c r="G22" s="52">
        <v>5.5</v>
      </c>
      <c r="H22" s="49">
        <f t="shared" si="0"/>
        <v>2185.75</v>
      </c>
      <c r="I22" s="49">
        <f t="shared" si="1"/>
        <v>1223.25</v>
      </c>
    </row>
    <row r="23" spans="1:9" x14ac:dyDescent="0.3">
      <c r="A23" s="40">
        <v>1022</v>
      </c>
      <c r="B23" s="40" t="s">
        <v>67</v>
      </c>
      <c r="C23" s="40" t="s">
        <v>40</v>
      </c>
      <c r="D23" s="40" t="s">
        <v>38</v>
      </c>
      <c r="E23" s="40">
        <v>90</v>
      </c>
      <c r="F23" s="52">
        <v>13.99</v>
      </c>
      <c r="G23" s="52">
        <v>6</v>
      </c>
      <c r="H23" s="49">
        <f t="shared" si="0"/>
        <v>1259.0999999999999</v>
      </c>
      <c r="I23" s="49">
        <f t="shared" si="1"/>
        <v>719.09999999999991</v>
      </c>
    </row>
    <row r="24" spans="1:9" x14ac:dyDescent="0.3">
      <c r="A24" s="40">
        <v>1023</v>
      </c>
      <c r="B24" s="40" t="s">
        <v>68</v>
      </c>
      <c r="C24" s="40" t="s">
        <v>40</v>
      </c>
      <c r="D24" s="40" t="s">
        <v>41</v>
      </c>
      <c r="E24" s="40">
        <v>65</v>
      </c>
      <c r="F24" s="52">
        <v>27.99</v>
      </c>
      <c r="G24" s="52">
        <v>12</v>
      </c>
      <c r="H24" s="49">
        <f t="shared" si="0"/>
        <v>1819.35</v>
      </c>
      <c r="I24" s="49">
        <f t="shared" si="1"/>
        <v>1039.3499999999999</v>
      </c>
    </row>
    <row r="25" spans="1:9" x14ac:dyDescent="0.3">
      <c r="A25" s="40">
        <v>1024</v>
      </c>
      <c r="B25" s="40" t="s">
        <v>69</v>
      </c>
      <c r="C25" s="40" t="s">
        <v>40</v>
      </c>
      <c r="D25" s="40" t="s">
        <v>47</v>
      </c>
      <c r="E25" s="40">
        <v>100</v>
      </c>
      <c r="F25" s="52">
        <v>18.989999999999998</v>
      </c>
      <c r="G25" s="52">
        <v>8</v>
      </c>
      <c r="H25" s="49">
        <f t="shared" si="0"/>
        <v>1898.9999999999998</v>
      </c>
      <c r="I25" s="49">
        <f t="shared" si="1"/>
        <v>1098.9999999999998</v>
      </c>
    </row>
    <row r="26" spans="1:9" x14ac:dyDescent="0.3">
      <c r="A26" s="40">
        <v>1025</v>
      </c>
      <c r="B26" s="40" t="s">
        <v>70</v>
      </c>
      <c r="C26" s="40" t="s">
        <v>60</v>
      </c>
      <c r="D26" s="40" t="s">
        <v>43</v>
      </c>
      <c r="E26" s="40">
        <v>135</v>
      </c>
      <c r="F26" s="52">
        <v>9.49</v>
      </c>
      <c r="G26" s="52">
        <v>3.5</v>
      </c>
      <c r="H26" s="49">
        <f t="shared" si="0"/>
        <v>1281.1500000000001</v>
      </c>
      <c r="I26" s="49">
        <f t="shared" si="1"/>
        <v>808.65000000000009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AB0A9-D354-4DC4-AA3D-DF53856B5656}">
  <sheetPr codeName="Sheet3"/>
  <dimension ref="A1:S36"/>
  <sheetViews>
    <sheetView showGridLines="0" zoomScale="70" zoomScaleNormal="70" workbookViewId="0">
      <selection sqref="A1:M1"/>
    </sheetView>
  </sheetViews>
  <sheetFormatPr defaultRowHeight="14.4" x14ac:dyDescent="0.3"/>
  <cols>
    <col min="1" max="2" width="16.5546875" style="40" bestFit="1" customWidth="1"/>
    <col min="3" max="3" width="13.21875" style="40" bestFit="1" customWidth="1"/>
    <col min="4" max="4" width="11.88671875" style="40" bestFit="1" customWidth="1"/>
    <col min="5" max="6" width="8.88671875" style="40"/>
    <col min="7" max="7" width="22.44140625" style="40" hidden="1" customWidth="1"/>
    <col min="8" max="8" width="16.109375" style="40" hidden="1" customWidth="1"/>
    <col min="9" max="9" width="15.33203125" style="40" bestFit="1" customWidth="1"/>
    <col min="10" max="13" width="8.88671875" style="40"/>
    <col min="14" max="14" width="21.6640625" style="40" bestFit="1" customWidth="1"/>
    <col min="15" max="17" width="8.88671875" style="40"/>
    <col min="18" max="18" width="21.6640625" style="40" bestFit="1" customWidth="1"/>
    <col min="19" max="16384" width="8.88671875" style="40"/>
  </cols>
  <sheetData>
    <row r="1" spans="1:19" ht="20.399999999999999" thickBot="1" x14ac:dyDescent="0.45">
      <c r="A1" s="64" t="s">
        <v>71</v>
      </c>
      <c r="B1" s="64"/>
      <c r="C1" s="64"/>
      <c r="D1" s="64"/>
      <c r="E1" s="64"/>
      <c r="F1" s="64"/>
      <c r="G1" s="64"/>
      <c r="H1" s="64"/>
      <c r="I1" s="64"/>
      <c r="J1" s="64"/>
      <c r="K1" s="64"/>
      <c r="L1" s="64"/>
      <c r="M1" s="64"/>
    </row>
    <row r="2" spans="1:19" ht="18.600000000000001" thickTop="1" thickBot="1" x14ac:dyDescent="0.4">
      <c r="A2" s="50" t="s">
        <v>74</v>
      </c>
    </row>
    <row r="3" spans="1:19" ht="18.600000000000001" thickBot="1" x14ac:dyDescent="0.35">
      <c r="B3" s="36" t="s">
        <v>72</v>
      </c>
      <c r="C3" s="37" t="s">
        <v>73</v>
      </c>
      <c r="D3" s="38" t="s">
        <v>31</v>
      </c>
    </row>
    <row r="4" spans="1:19" ht="15" thickBot="1" x14ac:dyDescent="0.35">
      <c r="B4" s="33">
        <f>SUM('Sales Data'!H2:H25)</f>
        <v>36422.9</v>
      </c>
      <c r="C4" s="34">
        <f>SUM('Sales Data'!I2:I25)</f>
        <v>21222.899999999994</v>
      </c>
      <c r="D4" s="35">
        <f>SUM('Sales Data'!E2:E25)</f>
        <v>2960</v>
      </c>
    </row>
    <row r="5" spans="1:19" x14ac:dyDescent="0.3">
      <c r="N5" s="40" t="str" cm="1">
        <f t="array" ref="N5:N29">_xlfn.UNIQUE(Table3[Product])</f>
        <v>Silicone Spatula</v>
      </c>
      <c r="O5" s="40">
        <f>SUMIFS('Sales Data'!$H:$H, 'Sales Data'!$B:$B, N5)</f>
        <v>1198.8</v>
      </c>
      <c r="R5" s="40" t="str" cm="1">
        <f t="array" ref="R5:R14">_xlfn.TAKE(_xlfn.SORTBY(N5:N30, O5:O30, -1), 10)</f>
        <v>Water Bottle</v>
      </c>
      <c r="S5" s="40" cm="1">
        <f t="array" ref="S5:S14">_xlfn.TAKE(_xlfn.SORTBY(O5:O30, O5:O30, -1), 10)</f>
        <v>2378.6</v>
      </c>
    </row>
    <row r="6" spans="1:19" x14ac:dyDescent="0.3">
      <c r="H6" s="40" t="s">
        <v>76</v>
      </c>
      <c r="N6" s="40" t="str">
        <v>Glass Storage Jars</v>
      </c>
      <c r="O6" s="40">
        <f>SUMIFS('Sales Data'!$H:$H, 'Sales Data'!$B:$B, N6)</f>
        <v>1199.2</v>
      </c>
      <c r="R6" s="40" t="str">
        <v>Mason Jars</v>
      </c>
      <c r="S6" s="40">
        <v>2185.75</v>
      </c>
    </row>
    <row r="7" spans="1:19" x14ac:dyDescent="0.3">
      <c r="G7" s="48" t="s">
        <v>69</v>
      </c>
      <c r="H7" s="49">
        <v>1898.9999999999998</v>
      </c>
      <c r="N7" s="40" t="str">
        <v>Microfiber Towels</v>
      </c>
      <c r="O7" s="40">
        <f>SUMIFS('Sales Data'!$H:$H, 'Sales Data'!$B:$B, N7)</f>
        <v>1398</v>
      </c>
      <c r="R7" s="40" t="str">
        <v>Trash Bags</v>
      </c>
      <c r="S7" s="40">
        <v>1997.5</v>
      </c>
    </row>
    <row r="8" spans="1:19" x14ac:dyDescent="0.3">
      <c r="G8" s="48" t="s">
        <v>57</v>
      </c>
      <c r="H8" s="49">
        <v>1499.3999999999999</v>
      </c>
      <c r="N8" s="40" t="str">
        <v>Stainless Steel Knife</v>
      </c>
      <c r="O8" s="40">
        <f>SUMIFS('Sales Data'!$H:$H, 'Sales Data'!$B:$B, N8)</f>
        <v>1899.05</v>
      </c>
      <c r="R8" s="40" t="str">
        <v>Cutting Board</v>
      </c>
      <c r="S8" s="40">
        <v>1948.5</v>
      </c>
    </row>
    <row r="9" spans="1:19" x14ac:dyDescent="0.3">
      <c r="G9" s="48" t="s">
        <v>48</v>
      </c>
      <c r="H9" s="49">
        <v>1948.5</v>
      </c>
      <c r="N9" s="40" t="str">
        <v>Cutting Board</v>
      </c>
      <c r="O9" s="40">
        <f>SUMIFS('Sales Data'!$H:$H, 'Sales Data'!$B:$B, N9)</f>
        <v>1948.5</v>
      </c>
      <c r="R9" s="40" t="str">
        <v>Stainless Steel Knife</v>
      </c>
      <c r="S9" s="40">
        <v>1899.05</v>
      </c>
    </row>
    <row r="10" spans="1:19" x14ac:dyDescent="0.3">
      <c r="G10" s="48" t="s">
        <v>53</v>
      </c>
      <c r="H10" s="49">
        <v>1497</v>
      </c>
      <c r="N10" s="40" t="str">
        <v>Measuring Cups</v>
      </c>
      <c r="O10" s="40">
        <f>SUMIFS('Sales Data'!$H:$H, 'Sales Data'!$B:$B, N10)</f>
        <v>988.9</v>
      </c>
      <c r="R10" s="40" t="str">
        <v>Cereal Storage Container</v>
      </c>
      <c r="S10" s="40">
        <v>1898.9999999999998</v>
      </c>
    </row>
    <row r="11" spans="1:19" x14ac:dyDescent="0.3">
      <c r="G11" s="48" t="s">
        <v>39</v>
      </c>
      <c r="H11" s="49">
        <v>1199.2</v>
      </c>
      <c r="N11" s="40" t="str">
        <v>Oven Mitts</v>
      </c>
      <c r="O11" s="40">
        <f>SUMIFS('Sales Data'!$H:$H, 'Sales Data'!$B:$B, N11)</f>
        <v>1079.0999999999999</v>
      </c>
      <c r="R11" s="40" t="str">
        <v>Salt &amp; Pepper Grinder</v>
      </c>
      <c r="S11" s="40">
        <v>1819.35</v>
      </c>
    </row>
    <row r="12" spans="1:19" x14ac:dyDescent="0.3">
      <c r="G12" s="48" t="s">
        <v>55</v>
      </c>
      <c r="H12" s="49">
        <v>934.15</v>
      </c>
      <c r="N12" s="40" t="str">
        <v>Water Bottle</v>
      </c>
      <c r="O12" s="40">
        <f>SUMIFS('Sales Data'!$H:$H, 'Sales Data'!$B:$B, N12)</f>
        <v>2378.6</v>
      </c>
      <c r="R12" s="40" t="str">
        <v>Soap Dispenser</v>
      </c>
      <c r="S12" s="40">
        <v>1818.6000000000001</v>
      </c>
    </row>
    <row r="13" spans="1:19" x14ac:dyDescent="0.3">
      <c r="G13" s="48" t="s">
        <v>66</v>
      </c>
      <c r="H13" s="49">
        <v>2185.75</v>
      </c>
      <c r="N13" s="40" t="str">
        <v>Food Storage Bags</v>
      </c>
      <c r="O13" s="40">
        <f>SUMIFS('Sales Data'!$H:$H, 'Sales Data'!$B:$B, N13)</f>
        <v>1497</v>
      </c>
      <c r="R13" s="40" t="str">
        <v>Table Coasters</v>
      </c>
      <c r="S13" s="40">
        <v>1598.4</v>
      </c>
    </row>
    <row r="14" spans="1:19" x14ac:dyDescent="0.3">
      <c r="G14" s="48" t="s">
        <v>49</v>
      </c>
      <c r="H14" s="49">
        <v>988.9</v>
      </c>
      <c r="N14" s="40" t="str">
        <v>Bamboo Spatula</v>
      </c>
      <c r="O14" s="40">
        <f>SUMIFS('Sales Data'!$H:$H, 'Sales Data'!$B:$B, N14)</f>
        <v>1168.7</v>
      </c>
      <c r="R14" s="40" t="str">
        <v>Spice Rack</v>
      </c>
      <c r="S14" s="40">
        <v>1574.5500000000002</v>
      </c>
    </row>
    <row r="15" spans="1:19" x14ac:dyDescent="0.3">
      <c r="G15" s="48" t="s">
        <v>44</v>
      </c>
      <c r="H15" s="49">
        <v>1398</v>
      </c>
      <c r="N15" s="40" t="str">
        <v>Kitchen Tongs</v>
      </c>
      <c r="O15" s="40">
        <f>SUMIFS('Sales Data'!$H:$H, 'Sales Data'!$B:$B, N15)</f>
        <v>934.15</v>
      </c>
    </row>
    <row r="16" spans="1:19" x14ac:dyDescent="0.3">
      <c r="G16" s="48" t="s">
        <v>50</v>
      </c>
      <c r="H16" s="49">
        <v>1079.0999999999999</v>
      </c>
      <c r="N16" s="40" t="str">
        <v>Pizza Cutter</v>
      </c>
      <c r="O16" s="40">
        <f>SUMIFS('Sales Data'!$H:$H, 'Sales Data'!$B:$B, N16)</f>
        <v>1119.3</v>
      </c>
    </row>
    <row r="17" spans="7:15" x14ac:dyDescent="0.3">
      <c r="G17" s="48" t="s">
        <v>58</v>
      </c>
      <c r="H17" s="49">
        <v>1198</v>
      </c>
      <c r="N17" s="40" t="str">
        <v>Chef Knife</v>
      </c>
      <c r="O17" s="40">
        <f>SUMIFS('Sales Data'!$H:$H, 'Sales Data'!$B:$B, N17)</f>
        <v>1499.3999999999999</v>
      </c>
    </row>
    <row r="18" spans="7:15" x14ac:dyDescent="0.3">
      <c r="G18" s="48" t="s">
        <v>56</v>
      </c>
      <c r="H18" s="49">
        <v>1119.3</v>
      </c>
      <c r="N18" s="40" t="str">
        <v>Peeler</v>
      </c>
      <c r="O18" s="40">
        <f>SUMIFS('Sales Data'!$H:$H, 'Sales Data'!$B:$B, N18)</f>
        <v>1198</v>
      </c>
    </row>
    <row r="19" spans="7:15" x14ac:dyDescent="0.3">
      <c r="G19" s="48" t="s">
        <v>68</v>
      </c>
      <c r="H19" s="49">
        <v>1819.35</v>
      </c>
      <c r="N19" s="40" t="str">
        <v>Serving Tray</v>
      </c>
      <c r="O19" s="40">
        <f>SUMIFS('Sales Data'!$H:$H, 'Sales Data'!$B:$B, N19)</f>
        <v>1264.4499999999998</v>
      </c>
    </row>
    <row r="20" spans="7:15" ht="17.399999999999999" x14ac:dyDescent="0.35">
      <c r="G20" s="48" t="s">
        <v>65</v>
      </c>
      <c r="H20" s="49">
        <v>1574.5500000000002</v>
      </c>
      <c r="I20" s="65" t="s">
        <v>78</v>
      </c>
      <c r="J20" s="65"/>
      <c r="K20" s="65"/>
      <c r="L20" s="65"/>
      <c r="M20" s="65"/>
      <c r="N20" s="40" t="str">
        <v>Table Coasters</v>
      </c>
      <c r="O20" s="40">
        <f>SUMIFS('Sales Data'!$H:$H, 'Sales Data'!$B:$B, N20)</f>
        <v>1598.4</v>
      </c>
    </row>
    <row r="21" spans="7:15" x14ac:dyDescent="0.3">
      <c r="G21" s="48" t="s">
        <v>45</v>
      </c>
      <c r="H21" s="49">
        <v>1899.05</v>
      </c>
      <c r="N21" s="40" t="str">
        <v>Tea Kettle</v>
      </c>
      <c r="O21" s="40">
        <f>SUMIFS('Sales Data'!$H:$H, 'Sales Data'!$B:$B, N21)</f>
        <v>1499.5</v>
      </c>
    </row>
    <row r="22" spans="7:15" x14ac:dyDescent="0.3">
      <c r="G22" s="48" t="s">
        <v>67</v>
      </c>
      <c r="H22" s="49">
        <v>1259.0999999999999</v>
      </c>
      <c r="N22" s="40" t="str">
        <v>Trash Bags</v>
      </c>
      <c r="O22" s="40">
        <f>SUMIFS('Sales Data'!$H:$H, 'Sales Data'!$B:$B, N22)</f>
        <v>1997.5</v>
      </c>
    </row>
    <row r="23" spans="7:15" x14ac:dyDescent="0.3">
      <c r="G23" s="48" t="s">
        <v>62</v>
      </c>
      <c r="H23" s="49">
        <v>1499.5</v>
      </c>
      <c r="N23" s="40" t="str">
        <v>Soap Dispenser</v>
      </c>
      <c r="O23" s="40">
        <f>SUMIFS('Sales Data'!$H:$H, 'Sales Data'!$B:$B, N23)</f>
        <v>1818.6000000000001</v>
      </c>
    </row>
    <row r="24" spans="7:15" x14ac:dyDescent="0.3">
      <c r="G24" s="48" t="s">
        <v>63</v>
      </c>
      <c r="H24" s="49">
        <v>1997.5</v>
      </c>
      <c r="N24" s="40" t="str">
        <v>Spice Rack</v>
      </c>
      <c r="O24" s="40">
        <f>SUMIFS('Sales Data'!$H:$H, 'Sales Data'!$B:$B, N24)</f>
        <v>1574.5500000000002</v>
      </c>
    </row>
    <row r="25" spans="7:15" x14ac:dyDescent="0.3">
      <c r="N25" s="40" t="str">
        <v>Mason Jars</v>
      </c>
      <c r="O25" s="40">
        <f>SUMIFS('Sales Data'!$H:$H, 'Sales Data'!$B:$B, N25)</f>
        <v>2185.75</v>
      </c>
    </row>
    <row r="26" spans="7:15" x14ac:dyDescent="0.3">
      <c r="N26" s="40" t="str">
        <v>Steel Strainer</v>
      </c>
      <c r="O26" s="40">
        <f>SUMIFS('Sales Data'!$H:$H, 'Sales Data'!$B:$B, N26)</f>
        <v>1259.0999999999999</v>
      </c>
    </row>
    <row r="27" spans="7:15" x14ac:dyDescent="0.3">
      <c r="N27" s="40" t="str">
        <v>Salt &amp; Pepper Grinder</v>
      </c>
      <c r="O27" s="40">
        <f>SUMIFS('Sales Data'!$H:$H, 'Sales Data'!$B:$B, N27)</f>
        <v>1819.35</v>
      </c>
    </row>
    <row r="28" spans="7:15" x14ac:dyDescent="0.3">
      <c r="N28" s="40" t="str">
        <v>Cereal Storage Container</v>
      </c>
      <c r="O28" s="40">
        <f>SUMIFS('Sales Data'!$H:$H, 'Sales Data'!$B:$B, N28)</f>
        <v>1898.9999999999998</v>
      </c>
    </row>
    <row r="29" spans="7:15" x14ac:dyDescent="0.3">
      <c r="N29" s="40" t="str">
        <v>Cloth Napkins</v>
      </c>
      <c r="O29" s="40">
        <f>SUMIFS('Sales Data'!$H:$H, 'Sales Data'!$B:$B, N29)</f>
        <v>1281.1500000000001</v>
      </c>
    </row>
    <row r="36" spans="9:14" ht="17.399999999999999" x14ac:dyDescent="0.35">
      <c r="I36" s="39" t="s">
        <v>79</v>
      </c>
      <c r="J36" s="39"/>
      <c r="K36" s="39"/>
      <c r="L36" s="39"/>
      <c r="M36" s="39"/>
      <c r="N36" s="39"/>
    </row>
  </sheetData>
  <mergeCells count="2">
    <mergeCell ref="A1:M1"/>
    <mergeCell ref="I20:M20"/>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6BEE1-424D-4E9C-A1EC-6FBBC2BFD71A}">
  <sheetPr codeName="Sheet7"/>
  <dimension ref="A1:M201"/>
  <sheetViews>
    <sheetView zoomScaleNormal="100" workbookViewId="0"/>
  </sheetViews>
  <sheetFormatPr defaultColWidth="20.77734375" defaultRowHeight="14.4" x14ac:dyDescent="0.3"/>
  <cols>
    <col min="1" max="2" width="18.77734375" style="43" customWidth="1"/>
    <col min="3" max="5" width="12.77734375" style="43" customWidth="1"/>
    <col min="6" max="6" width="2.77734375" style="43" customWidth="1"/>
    <col min="7" max="7" width="18.77734375" style="43" customWidth="1"/>
    <col min="8" max="8" width="15.77734375" style="43" customWidth="1"/>
    <col min="9" max="16384" width="20.77734375" style="43"/>
  </cols>
  <sheetData>
    <row r="1" spans="1:13" x14ac:dyDescent="0.3">
      <c r="A1" s="41" t="s">
        <v>28</v>
      </c>
      <c r="B1" s="41" t="s">
        <v>80</v>
      </c>
      <c r="C1" s="41" t="s">
        <v>81</v>
      </c>
      <c r="D1" s="41" t="s">
        <v>82</v>
      </c>
      <c r="E1" s="41" t="s">
        <v>83</v>
      </c>
      <c r="F1"/>
      <c r="G1" s="41" t="s">
        <v>84</v>
      </c>
      <c r="H1" s="41"/>
      <c r="I1" s="44"/>
      <c r="J1" s="44"/>
      <c r="K1" s="44"/>
      <c r="L1" s="44"/>
      <c r="M1" s="44"/>
    </row>
    <row r="2" spans="1:13" x14ac:dyDescent="0.3">
      <c r="A2" t="str" cm="1">
        <f t="array" ref="A2:A26">_xlfn.UNIQUE(Table3[Product])</f>
        <v>Silicone Spatula</v>
      </c>
      <c r="B2" t="str">
        <f>_xlfn.XLOOKUP(A2, Table3[Product], Table3[[Category ]])</f>
        <v>Set</v>
      </c>
      <c r="C2" s="45">
        <f ca="1">RANDBETWEEN(40,120)</f>
        <v>54</v>
      </c>
      <c r="D2" s="45">
        <f ca="1">RANDBETWEEN(0,200)</f>
        <v>97</v>
      </c>
      <c r="E2" t="str">
        <f ca="1">IF(D2 &lt; C2, "REORDER", "OK")</f>
        <v>OK</v>
      </c>
      <c r="F2"/>
      <c r="G2" s="45" t="s">
        <v>85</v>
      </c>
      <c r="H2" s="46">
        <f>COUNTA(A2:A200)</f>
        <v>25</v>
      </c>
      <c r="I2" s="44"/>
      <c r="J2" s="44"/>
      <c r="K2" s="44"/>
      <c r="L2" s="44"/>
      <c r="M2" s="44"/>
    </row>
    <row r="3" spans="1:13" x14ac:dyDescent="0.3">
      <c r="A3" t="str">
        <v>Glass Storage Jars</v>
      </c>
      <c r="B3" t="str">
        <f>_xlfn.XLOOKUP(A3, Table3[Product], Table3[[Category ]])</f>
        <v>Kitchen</v>
      </c>
      <c r="C3" s="45">
        <f t="shared" ref="C3:C26" ca="1" si="0">RANDBETWEEN(40,120)</f>
        <v>45</v>
      </c>
      <c r="D3" s="45">
        <f t="shared" ref="D3:D26" ca="1" si="1">RANDBETWEEN(0,200)</f>
        <v>154</v>
      </c>
      <c r="E3" t="str">
        <f t="shared" ref="E3:E26" ca="1" si="2">IF(D3 &lt; C3, "REORDER", "OK")</f>
        <v>OK</v>
      </c>
      <c r="F3"/>
      <c r="G3" s="45" t="s">
        <v>86</v>
      </c>
      <c r="H3" s="46">
        <f ca="1">COUNTIFS(E2:E200, "REORDER")</f>
        <v>10</v>
      </c>
      <c r="I3" s="44"/>
      <c r="J3" s="44"/>
      <c r="K3" s="44"/>
      <c r="L3" s="44"/>
      <c r="M3" s="44"/>
    </row>
    <row r="4" spans="1:13" x14ac:dyDescent="0.3">
      <c r="A4" t="str">
        <v>Microfiber Towels</v>
      </c>
      <c r="B4" t="str">
        <f>_xlfn.XLOOKUP(A4, Table3[Product], Table3[[Category ]])</f>
        <v>Cleaning</v>
      </c>
      <c r="C4" s="45">
        <f t="shared" ca="1" si="0"/>
        <v>53</v>
      </c>
      <c r="D4" s="45">
        <f t="shared" ca="1" si="1"/>
        <v>183</v>
      </c>
      <c r="E4" t="str">
        <f t="shared" ca="1" si="2"/>
        <v>OK</v>
      </c>
      <c r="F4"/>
      <c r="G4" s="45" t="s">
        <v>87</v>
      </c>
      <c r="H4" s="46">
        <f>IFERROR(G3/G2,0)</f>
        <v>0</v>
      </c>
      <c r="I4" s="44"/>
      <c r="J4" s="44"/>
      <c r="K4" s="44"/>
      <c r="L4" s="44"/>
      <c r="M4" s="44"/>
    </row>
    <row r="5" spans="1:13" x14ac:dyDescent="0.3">
      <c r="A5" t="str">
        <v>Stainless Steel Knife</v>
      </c>
      <c r="B5" t="str">
        <f>_xlfn.XLOOKUP(A5, Table3[Product], Table3[[Category ]])</f>
        <v>Cutlery</v>
      </c>
      <c r="C5" s="45">
        <f t="shared" ca="1" si="0"/>
        <v>56</v>
      </c>
      <c r="D5" s="45">
        <f t="shared" ca="1" si="1"/>
        <v>6</v>
      </c>
      <c r="E5" t="str">
        <f t="shared" ca="1" si="2"/>
        <v>REORDER</v>
      </c>
      <c r="F5"/>
      <c r="G5" s="45" t="s">
        <v>88</v>
      </c>
      <c r="H5" s="46">
        <f ca="1">AVERAGE(D2:D200)</f>
        <v>96</v>
      </c>
      <c r="I5" s="44"/>
      <c r="J5" s="44"/>
      <c r="K5" s="44"/>
      <c r="L5" s="44"/>
      <c r="M5" s="44"/>
    </row>
    <row r="6" spans="1:13" x14ac:dyDescent="0.3">
      <c r="A6" t="str">
        <v>Cutting Board</v>
      </c>
      <c r="B6" t="str">
        <f>_xlfn.XLOOKUP(A6, Table3[Product], Table3[[Category ]])</f>
        <v>Kitchen</v>
      </c>
      <c r="C6" s="45">
        <f t="shared" ca="1" si="0"/>
        <v>77</v>
      </c>
      <c r="D6" s="45">
        <f t="shared" ca="1" si="1"/>
        <v>174</v>
      </c>
      <c r="E6" t="str">
        <f t="shared" ca="1" si="2"/>
        <v>OK</v>
      </c>
      <c r="F6"/>
      <c r="G6" s="45" t="s">
        <v>89</v>
      </c>
      <c r="H6" s="46">
        <f ca="1">AVERAGE(C2:C200)</f>
        <v>71.28</v>
      </c>
      <c r="I6" s="44"/>
      <c r="J6" s="44"/>
      <c r="K6" s="44"/>
      <c r="L6" s="44"/>
      <c r="M6" s="44"/>
    </row>
    <row r="7" spans="1:13" x14ac:dyDescent="0.3">
      <c r="A7" t="str">
        <v>Measuring Cups</v>
      </c>
      <c r="B7" t="str">
        <f>_xlfn.XLOOKUP(A7, Table3[Product], Table3[[Category ]])</f>
        <v>Kitchen</v>
      </c>
      <c r="C7" s="45">
        <f t="shared" ca="1" si="0"/>
        <v>106</v>
      </c>
      <c r="D7" s="45">
        <f t="shared" ca="1" si="1"/>
        <v>38</v>
      </c>
      <c r="E7" t="str">
        <f t="shared" ca="1" si="2"/>
        <v>REORDER</v>
      </c>
      <c r="F7"/>
      <c r="G7"/>
      <c r="H7"/>
      <c r="I7" s="44"/>
      <c r="J7" s="44"/>
      <c r="K7" s="44"/>
      <c r="L7" s="44"/>
      <c r="M7" s="44"/>
    </row>
    <row r="8" spans="1:13" x14ac:dyDescent="0.3">
      <c r="A8" t="str">
        <v>Oven Mitts</v>
      </c>
      <c r="B8" t="str">
        <f>_xlfn.XLOOKUP(A8, Table3[Product], Table3[[Category ]])</f>
        <v>Kitchen</v>
      </c>
      <c r="C8" s="45">
        <f t="shared" ca="1" si="0"/>
        <v>48</v>
      </c>
      <c r="D8" s="45">
        <f t="shared" ca="1" si="1"/>
        <v>16</v>
      </c>
      <c r="E8" t="str">
        <f t="shared" ca="1" si="2"/>
        <v>REORDER</v>
      </c>
      <c r="F8"/>
      <c r="G8"/>
      <c r="H8"/>
      <c r="I8" s="44"/>
      <c r="J8" s="44"/>
      <c r="K8" s="44"/>
      <c r="L8" s="44"/>
      <c r="M8" s="44"/>
    </row>
    <row r="9" spans="1:13" x14ac:dyDescent="0.3">
      <c r="A9" t="str">
        <v>Water Bottle</v>
      </c>
      <c r="B9" t="str">
        <f>_xlfn.XLOOKUP(A9, Table3[Product], Table3[[Category ]])</f>
        <v>Drinkware</v>
      </c>
      <c r="C9" s="45">
        <f t="shared" ca="1" si="0"/>
        <v>109</v>
      </c>
      <c r="D9" s="45">
        <f t="shared" ca="1" si="1"/>
        <v>53</v>
      </c>
      <c r="E9" t="str">
        <f t="shared" ca="1" si="2"/>
        <v>REORDER</v>
      </c>
      <c r="F9"/>
      <c r="G9"/>
      <c r="H9"/>
      <c r="I9" s="44"/>
      <c r="J9" s="44"/>
      <c r="K9" s="44"/>
      <c r="L9" s="44"/>
      <c r="M9" s="44"/>
    </row>
    <row r="10" spans="1:13" x14ac:dyDescent="0.3">
      <c r="A10" t="str">
        <v>Food Storage Bags</v>
      </c>
      <c r="B10" t="str">
        <f>_xlfn.XLOOKUP(A10, Table3[Product], Table3[[Category ]])</f>
        <v>Kitchen</v>
      </c>
      <c r="C10" s="45">
        <f t="shared" ca="1" si="0"/>
        <v>66</v>
      </c>
      <c r="D10" s="45">
        <f t="shared" ca="1" si="1"/>
        <v>107</v>
      </c>
      <c r="E10" t="str">
        <f t="shared" ca="1" si="2"/>
        <v>OK</v>
      </c>
      <c r="F10"/>
      <c r="G10"/>
      <c r="H10"/>
      <c r="I10" s="44"/>
      <c r="J10" s="44"/>
      <c r="K10" s="44"/>
      <c r="L10" s="44"/>
      <c r="M10" s="44"/>
    </row>
    <row r="11" spans="1:13" x14ac:dyDescent="0.3">
      <c r="A11" t="str">
        <v>Bamboo Spatula</v>
      </c>
      <c r="B11" t="str">
        <f>_xlfn.XLOOKUP(A11, Table3[Product], Table3[[Category ]])</f>
        <v>Set</v>
      </c>
      <c r="C11" s="45">
        <f t="shared" ca="1" si="0"/>
        <v>58</v>
      </c>
      <c r="D11" s="45">
        <f t="shared" ca="1" si="1"/>
        <v>32</v>
      </c>
      <c r="E11" t="str">
        <f t="shared" ca="1" si="2"/>
        <v>REORDER</v>
      </c>
      <c r="F11"/>
      <c r="G11"/>
      <c r="H11"/>
      <c r="I11" s="44"/>
      <c r="J11" s="44"/>
      <c r="K11" s="44"/>
      <c r="L11" s="44"/>
      <c r="M11" s="44"/>
    </row>
    <row r="12" spans="1:13" x14ac:dyDescent="0.3">
      <c r="A12" t="str">
        <v>Kitchen Tongs</v>
      </c>
      <c r="B12" t="str">
        <f>_xlfn.XLOOKUP(A12, Table3[Product], Table3[[Category ]])</f>
        <v>Kitchen</v>
      </c>
      <c r="C12" s="45">
        <f t="shared" ca="1" si="0"/>
        <v>47</v>
      </c>
      <c r="D12" s="45">
        <f t="shared" ca="1" si="1"/>
        <v>46</v>
      </c>
      <c r="E12" t="str">
        <f t="shared" ca="1" si="2"/>
        <v>REORDER</v>
      </c>
      <c r="F12"/>
      <c r="G12"/>
      <c r="H12"/>
      <c r="I12" s="44"/>
      <c r="J12" s="44"/>
      <c r="K12" s="44"/>
      <c r="L12" s="44"/>
      <c r="M12" s="44"/>
    </row>
    <row r="13" spans="1:13" x14ac:dyDescent="0.3">
      <c r="A13" t="str">
        <v>Pizza Cutter</v>
      </c>
      <c r="B13" t="str">
        <f>_xlfn.XLOOKUP(A13, Table3[Product], Table3[[Category ]])</f>
        <v>Cutlery</v>
      </c>
      <c r="C13" s="45">
        <f t="shared" ca="1" si="0"/>
        <v>65</v>
      </c>
      <c r="D13" s="45">
        <f t="shared" ca="1" si="1"/>
        <v>75</v>
      </c>
      <c r="E13" t="str">
        <f t="shared" ca="1" si="2"/>
        <v>OK</v>
      </c>
      <c r="F13"/>
      <c r="G13"/>
      <c r="H13"/>
      <c r="I13" s="44"/>
      <c r="J13" s="44"/>
      <c r="K13" s="44"/>
      <c r="L13" s="44"/>
      <c r="M13" s="44"/>
    </row>
    <row r="14" spans="1:13" x14ac:dyDescent="0.3">
      <c r="A14" t="str">
        <v>Chef Knife</v>
      </c>
      <c r="B14" t="str">
        <f>_xlfn.XLOOKUP(A14, Table3[Product], Table3[[Category ]])</f>
        <v>Cutlery</v>
      </c>
      <c r="C14" s="45">
        <f t="shared" ca="1" si="0"/>
        <v>111</v>
      </c>
      <c r="D14" s="45">
        <f t="shared" ca="1" si="1"/>
        <v>15</v>
      </c>
      <c r="E14" t="str">
        <f t="shared" ca="1" si="2"/>
        <v>REORDER</v>
      </c>
      <c r="F14"/>
      <c r="G14"/>
      <c r="H14"/>
      <c r="I14" s="44"/>
      <c r="J14" s="44"/>
      <c r="K14" s="44"/>
      <c r="L14" s="44"/>
      <c r="M14" s="44"/>
    </row>
    <row r="15" spans="1:13" x14ac:dyDescent="0.3">
      <c r="A15" t="str">
        <v>Peeler</v>
      </c>
      <c r="B15" t="str">
        <f>_xlfn.XLOOKUP(A15, Table3[Product], Table3[[Category ]])</f>
        <v>Kitchen</v>
      </c>
      <c r="C15" s="45">
        <f t="shared" ca="1" si="0"/>
        <v>116</v>
      </c>
      <c r="D15" s="45">
        <f t="shared" ca="1" si="1"/>
        <v>152</v>
      </c>
      <c r="E15" t="str">
        <f t="shared" ca="1" si="2"/>
        <v>OK</v>
      </c>
      <c r="F15"/>
      <c r="G15"/>
      <c r="H15"/>
      <c r="I15" s="44"/>
      <c r="J15" s="44"/>
      <c r="K15" s="44"/>
      <c r="L15" s="44"/>
      <c r="M15" s="44"/>
    </row>
    <row r="16" spans="1:13" x14ac:dyDescent="0.3">
      <c r="A16" t="str">
        <v>Serving Tray</v>
      </c>
      <c r="B16" t="str">
        <f>_xlfn.XLOOKUP(A16, Table3[Product], Table3[[Category ]])</f>
        <v>Home</v>
      </c>
      <c r="C16" s="45">
        <f t="shared" ca="1" si="0"/>
        <v>70</v>
      </c>
      <c r="D16" s="45">
        <f t="shared" ca="1" si="1"/>
        <v>139</v>
      </c>
      <c r="E16" t="str">
        <f t="shared" ca="1" si="2"/>
        <v>OK</v>
      </c>
      <c r="F16"/>
      <c r="G16"/>
      <c r="H16"/>
      <c r="I16" s="44"/>
      <c r="J16" s="44"/>
      <c r="K16" s="44"/>
      <c r="L16" s="44"/>
      <c r="M16" s="44"/>
    </row>
    <row r="17" spans="1:13" x14ac:dyDescent="0.3">
      <c r="A17" t="str">
        <v>Table Coasters</v>
      </c>
      <c r="B17" t="str">
        <f>_xlfn.XLOOKUP(A17, Table3[Product], Table3[[Category ]])</f>
        <v>Home</v>
      </c>
      <c r="C17" s="45">
        <f t="shared" ca="1" si="0"/>
        <v>45</v>
      </c>
      <c r="D17" s="45">
        <f t="shared" ca="1" si="1"/>
        <v>114</v>
      </c>
      <c r="E17" t="str">
        <f t="shared" ca="1" si="2"/>
        <v>OK</v>
      </c>
      <c r="F17"/>
      <c r="G17"/>
      <c r="H17"/>
      <c r="I17" s="44"/>
      <c r="J17" s="44"/>
      <c r="K17" s="44"/>
      <c r="L17" s="44"/>
      <c r="M17" s="44"/>
    </row>
    <row r="18" spans="1:13" x14ac:dyDescent="0.3">
      <c r="A18" t="str">
        <v>Tea Kettle</v>
      </c>
      <c r="B18" t="str">
        <f>_xlfn.XLOOKUP(A18, Table3[Product], Table3[[Category ]])</f>
        <v>Kitchen</v>
      </c>
      <c r="C18" s="45">
        <f t="shared" ca="1" si="0"/>
        <v>78</v>
      </c>
      <c r="D18" s="45">
        <f t="shared" ca="1" si="1"/>
        <v>142</v>
      </c>
      <c r="E18" t="str">
        <f t="shared" ca="1" si="2"/>
        <v>OK</v>
      </c>
      <c r="F18"/>
      <c r="G18"/>
      <c r="H18"/>
      <c r="I18" s="44"/>
      <c r="J18" s="44"/>
      <c r="K18" s="44"/>
      <c r="L18" s="44"/>
      <c r="M18" s="44"/>
    </row>
    <row r="19" spans="1:13" x14ac:dyDescent="0.3">
      <c r="A19" t="str">
        <v>Trash Bags</v>
      </c>
      <c r="B19" t="str">
        <f>_xlfn.XLOOKUP(A19, Table3[Product], Table3[[Category ]])</f>
        <v>Cleaning</v>
      </c>
      <c r="C19" s="45">
        <f t="shared" ca="1" si="0"/>
        <v>41</v>
      </c>
      <c r="D19" s="45">
        <f t="shared" ca="1" si="1"/>
        <v>57</v>
      </c>
      <c r="E19" t="str">
        <f t="shared" ca="1" si="2"/>
        <v>OK</v>
      </c>
      <c r="F19"/>
      <c r="G19"/>
      <c r="H19"/>
      <c r="I19" s="44"/>
      <c r="J19" s="44"/>
      <c r="K19" s="44"/>
      <c r="L19" s="44"/>
      <c r="M19" s="44"/>
    </row>
    <row r="20" spans="1:13" x14ac:dyDescent="0.3">
      <c r="A20" t="str">
        <v>Soap Dispenser</v>
      </c>
      <c r="B20" t="str">
        <f>_xlfn.XLOOKUP(A20, Table3[Product], Table3[[Category ]])</f>
        <v>Home</v>
      </c>
      <c r="C20" s="45">
        <f t="shared" ca="1" si="0"/>
        <v>46</v>
      </c>
      <c r="D20" s="45">
        <f t="shared" ca="1" si="1"/>
        <v>10</v>
      </c>
      <c r="E20" t="str">
        <f t="shared" ca="1" si="2"/>
        <v>REORDER</v>
      </c>
      <c r="F20"/>
      <c r="G20"/>
      <c r="H20"/>
      <c r="I20" s="44"/>
      <c r="J20" s="44"/>
      <c r="K20" s="44"/>
      <c r="L20" s="44"/>
      <c r="M20" s="44"/>
    </row>
    <row r="21" spans="1:13" x14ac:dyDescent="0.3">
      <c r="A21" t="str">
        <v>Spice Rack</v>
      </c>
      <c r="B21" t="str">
        <f>_xlfn.XLOOKUP(A21, Table3[Product], Table3[[Category ]])</f>
        <v>Kitchen</v>
      </c>
      <c r="C21" s="45">
        <f t="shared" ca="1" si="0"/>
        <v>84</v>
      </c>
      <c r="D21" s="45">
        <f t="shared" ca="1" si="1"/>
        <v>116</v>
      </c>
      <c r="E21" t="str">
        <f t="shared" ca="1" si="2"/>
        <v>OK</v>
      </c>
      <c r="F21"/>
      <c r="G21"/>
      <c r="H21"/>
      <c r="I21" s="44"/>
      <c r="J21" s="44"/>
      <c r="K21" s="44"/>
      <c r="L21" s="44"/>
      <c r="M21" s="44"/>
    </row>
    <row r="22" spans="1:13" x14ac:dyDescent="0.3">
      <c r="A22" t="str">
        <v>Mason Jars</v>
      </c>
      <c r="B22" t="str">
        <f>_xlfn.XLOOKUP(A22, Table3[Product], Table3[[Category ]])</f>
        <v>Kitchen</v>
      </c>
      <c r="C22" s="45">
        <f t="shared" ca="1" si="0"/>
        <v>76</v>
      </c>
      <c r="D22" s="45">
        <f t="shared" ca="1" si="1"/>
        <v>194</v>
      </c>
      <c r="E22" t="str">
        <f t="shared" ca="1" si="2"/>
        <v>OK</v>
      </c>
      <c r="F22"/>
      <c r="G22"/>
      <c r="H22"/>
      <c r="I22" s="44"/>
      <c r="J22" s="44"/>
      <c r="K22" s="44"/>
      <c r="L22" s="44"/>
      <c r="M22" s="44"/>
    </row>
    <row r="23" spans="1:13" x14ac:dyDescent="0.3">
      <c r="A23" t="str">
        <v>Steel Strainer</v>
      </c>
      <c r="B23" t="str">
        <f>_xlfn.XLOOKUP(A23, Table3[Product], Table3[[Category ]])</f>
        <v>Kitchen</v>
      </c>
      <c r="C23" s="45">
        <f t="shared" ca="1" si="0"/>
        <v>103</v>
      </c>
      <c r="D23" s="45">
        <f t="shared" ca="1" si="1"/>
        <v>77</v>
      </c>
      <c r="E23" t="str">
        <f t="shared" ca="1" si="2"/>
        <v>REORDER</v>
      </c>
      <c r="F23"/>
      <c r="G23"/>
      <c r="H23"/>
      <c r="I23" s="44"/>
      <c r="J23" s="44"/>
      <c r="K23" s="44"/>
      <c r="L23" s="44"/>
      <c r="M23" s="44"/>
    </row>
    <row r="24" spans="1:13" x14ac:dyDescent="0.3">
      <c r="A24" t="str">
        <v>Salt &amp; Pepper Grinder</v>
      </c>
      <c r="B24" t="str">
        <f>_xlfn.XLOOKUP(A24, Table3[Product], Table3[[Category ]])</f>
        <v>Kitchen</v>
      </c>
      <c r="C24" s="45">
        <f t="shared" ca="1" si="0"/>
        <v>100</v>
      </c>
      <c r="D24" s="45">
        <f t="shared" ca="1" si="1"/>
        <v>172</v>
      </c>
      <c r="E24" t="str">
        <f t="shared" ca="1" si="2"/>
        <v>OK</v>
      </c>
      <c r="F24"/>
      <c r="G24"/>
      <c r="H24"/>
      <c r="I24" s="44"/>
      <c r="J24" s="44"/>
      <c r="K24" s="44"/>
      <c r="L24" s="44"/>
      <c r="M24" s="44"/>
    </row>
    <row r="25" spans="1:13" x14ac:dyDescent="0.3">
      <c r="A25" t="str">
        <v>Cereal Storage Container</v>
      </c>
      <c r="B25" t="str">
        <f>_xlfn.XLOOKUP(A25, Table3[Product], Table3[[Category ]])</f>
        <v>Kitchen</v>
      </c>
      <c r="C25" s="45">
        <f t="shared" ca="1" si="0"/>
        <v>57</v>
      </c>
      <c r="D25" s="45">
        <f t="shared" ca="1" si="1"/>
        <v>180</v>
      </c>
      <c r="E25" t="str">
        <f t="shared" ca="1" si="2"/>
        <v>OK</v>
      </c>
      <c r="F25"/>
      <c r="G25"/>
      <c r="H25"/>
      <c r="I25" s="44"/>
      <c r="J25" s="44"/>
      <c r="K25" s="44"/>
      <c r="L25" s="44"/>
      <c r="M25" s="44"/>
    </row>
    <row r="26" spans="1:13" x14ac:dyDescent="0.3">
      <c r="A26" t="str">
        <v>Cloth Napkins</v>
      </c>
      <c r="B26" t="str">
        <f>_xlfn.XLOOKUP(A26, Table3[Product], Table3[[Category ]])</f>
        <v>Home</v>
      </c>
      <c r="C26" s="45">
        <f t="shared" ca="1" si="0"/>
        <v>71</v>
      </c>
      <c r="D26" s="45">
        <f t="shared" ca="1" si="1"/>
        <v>51</v>
      </c>
      <c r="E26" t="str">
        <f t="shared" ca="1" si="2"/>
        <v>REORDER</v>
      </c>
      <c r="F26"/>
      <c r="G26"/>
      <c r="H26"/>
      <c r="I26" s="44"/>
      <c r="J26" s="44"/>
      <c r="K26" s="44"/>
      <c r="L26" s="44"/>
      <c r="M26" s="44"/>
    </row>
    <row r="27" spans="1:13" x14ac:dyDescent="0.3">
      <c r="A27" s="44"/>
      <c r="B27" s="44"/>
      <c r="C27" s="44"/>
      <c r="D27" s="44"/>
      <c r="E27" s="44"/>
      <c r="F27" s="44"/>
      <c r="G27" s="44"/>
      <c r="H27" s="44"/>
      <c r="I27" s="44"/>
      <c r="J27" s="44"/>
      <c r="K27" s="44"/>
      <c r="L27" s="44"/>
      <c r="M27" s="44"/>
    </row>
    <row r="28" spans="1:13" x14ac:dyDescent="0.3">
      <c r="A28" s="44"/>
      <c r="B28" s="44"/>
      <c r="C28" s="44"/>
      <c r="D28" s="44"/>
      <c r="E28" s="44"/>
      <c r="F28" s="44"/>
      <c r="G28" s="44"/>
      <c r="H28" s="44"/>
      <c r="I28" s="44"/>
      <c r="J28" s="44"/>
      <c r="K28" s="44"/>
      <c r="L28" s="44"/>
      <c r="M28" s="44"/>
    </row>
    <row r="29" spans="1:13" x14ac:dyDescent="0.3">
      <c r="A29" s="44"/>
      <c r="B29" s="44"/>
      <c r="C29" s="44"/>
      <c r="D29" s="44"/>
      <c r="E29" s="44"/>
      <c r="F29" s="44"/>
      <c r="G29" s="44"/>
      <c r="H29" s="44"/>
      <c r="I29" s="44"/>
      <c r="J29" s="44"/>
      <c r="K29" s="44"/>
      <c r="L29" s="44"/>
      <c r="M29" s="44"/>
    </row>
    <row r="30" spans="1:13" x14ac:dyDescent="0.3">
      <c r="A30" s="44"/>
      <c r="B30" s="44"/>
      <c r="C30" s="44"/>
      <c r="D30" s="44"/>
      <c r="E30" s="44"/>
      <c r="F30" s="44"/>
      <c r="G30" s="44"/>
      <c r="H30" s="44"/>
      <c r="I30" s="44"/>
      <c r="J30" s="44"/>
      <c r="K30" s="44"/>
      <c r="L30" s="44"/>
      <c r="M30" s="44"/>
    </row>
    <row r="31" spans="1:13" x14ac:dyDescent="0.3">
      <c r="A31" s="44"/>
      <c r="B31" s="44"/>
      <c r="C31" s="44"/>
      <c r="D31" s="44"/>
      <c r="E31" s="44"/>
      <c r="F31" s="44"/>
      <c r="G31" s="44"/>
      <c r="H31" s="44"/>
      <c r="I31" s="44"/>
      <c r="J31" s="44"/>
      <c r="K31" s="44"/>
      <c r="L31" s="44"/>
      <c r="M31" s="44"/>
    </row>
    <row r="32" spans="1:13" x14ac:dyDescent="0.3">
      <c r="A32" s="44"/>
      <c r="B32" s="44"/>
      <c r="C32" s="44"/>
      <c r="D32" s="44"/>
      <c r="E32" s="44"/>
      <c r="F32" s="44"/>
      <c r="G32" s="44"/>
      <c r="H32" s="44"/>
      <c r="I32" s="44"/>
      <c r="J32" s="44"/>
      <c r="K32" s="44"/>
      <c r="L32" s="44"/>
      <c r="M32" s="44"/>
    </row>
    <row r="33" spans="1:13" x14ac:dyDescent="0.3">
      <c r="A33" s="44"/>
      <c r="B33" s="44"/>
      <c r="C33" s="44"/>
      <c r="D33" s="44"/>
      <c r="E33" s="44"/>
      <c r="F33" s="44"/>
      <c r="G33" s="44"/>
      <c r="H33" s="44"/>
      <c r="I33" s="44"/>
      <c r="J33" s="44"/>
      <c r="K33" s="44"/>
      <c r="L33" s="44"/>
      <c r="M33" s="44"/>
    </row>
    <row r="34" spans="1:13" x14ac:dyDescent="0.3">
      <c r="A34" s="44"/>
      <c r="B34" s="44"/>
      <c r="C34" s="44"/>
      <c r="D34" s="44"/>
      <c r="E34" s="44"/>
      <c r="F34" s="44"/>
      <c r="G34" s="44"/>
      <c r="H34" s="44"/>
      <c r="I34" s="44"/>
      <c r="J34" s="44"/>
      <c r="K34" s="44"/>
      <c r="L34" s="44"/>
      <c r="M34" s="44"/>
    </row>
    <row r="35" spans="1:13" x14ac:dyDescent="0.3">
      <c r="A35" s="44"/>
      <c r="B35" s="44"/>
      <c r="C35" s="44"/>
      <c r="D35" s="44"/>
      <c r="E35" s="44"/>
      <c r="F35" s="44"/>
      <c r="G35" s="44"/>
      <c r="H35" s="44"/>
      <c r="I35" s="44"/>
      <c r="J35" s="44"/>
      <c r="K35" s="44"/>
      <c r="L35" s="44"/>
      <c r="M35" s="44"/>
    </row>
    <row r="36" spans="1:13" x14ac:dyDescent="0.3">
      <c r="A36" s="44"/>
      <c r="B36" s="44"/>
      <c r="C36" s="44"/>
      <c r="D36" s="44"/>
      <c r="E36" s="44"/>
      <c r="F36" s="44"/>
      <c r="G36" s="44"/>
      <c r="H36" s="44"/>
      <c r="I36" s="44"/>
      <c r="J36" s="44"/>
      <c r="K36" s="44"/>
      <c r="L36" s="44"/>
      <c r="M36" s="44"/>
    </row>
    <row r="37" spans="1:13" x14ac:dyDescent="0.3">
      <c r="A37" s="44"/>
      <c r="B37" s="44"/>
      <c r="C37" s="44"/>
      <c r="D37" s="44"/>
      <c r="E37" s="44"/>
      <c r="F37" s="44"/>
      <c r="G37" s="44"/>
      <c r="H37" s="44"/>
      <c r="I37" s="44"/>
      <c r="J37" s="44"/>
      <c r="K37" s="44"/>
      <c r="L37" s="44"/>
      <c r="M37" s="44"/>
    </row>
    <row r="38" spans="1:13" x14ac:dyDescent="0.3">
      <c r="A38" s="44"/>
      <c r="B38" s="44"/>
      <c r="C38" s="44"/>
      <c r="D38" s="44"/>
      <c r="E38" s="44"/>
      <c r="F38" s="44"/>
      <c r="G38" s="44"/>
      <c r="H38" s="44"/>
      <c r="I38" s="44"/>
      <c r="J38" s="44"/>
      <c r="K38" s="44"/>
      <c r="L38" s="44"/>
      <c r="M38" s="44"/>
    </row>
    <row r="39" spans="1:13" x14ac:dyDescent="0.3">
      <c r="A39" s="44"/>
      <c r="B39" s="44"/>
      <c r="C39" s="44"/>
      <c r="D39" s="44"/>
      <c r="E39" s="44"/>
      <c r="F39" s="44"/>
      <c r="G39" s="44"/>
      <c r="H39" s="44"/>
      <c r="I39" s="44"/>
      <c r="J39" s="44"/>
      <c r="K39" s="44"/>
      <c r="L39" s="44"/>
      <c r="M39" s="44"/>
    </row>
    <row r="40" spans="1:13" x14ac:dyDescent="0.3">
      <c r="A40" s="44"/>
      <c r="B40" s="44"/>
      <c r="C40" s="44"/>
      <c r="D40" s="44"/>
      <c r="E40" s="44"/>
      <c r="F40" s="44"/>
      <c r="G40" s="44"/>
      <c r="H40" s="44"/>
      <c r="I40" s="44"/>
      <c r="J40" s="44"/>
      <c r="K40" s="44"/>
      <c r="L40" s="44"/>
      <c r="M40" s="44"/>
    </row>
    <row r="41" spans="1:13" x14ac:dyDescent="0.3">
      <c r="A41" s="44"/>
      <c r="B41" s="44"/>
      <c r="C41" s="44"/>
      <c r="D41" s="44"/>
      <c r="E41" s="44"/>
      <c r="F41" s="44"/>
      <c r="G41" s="44"/>
      <c r="H41" s="44"/>
      <c r="I41" s="44"/>
      <c r="J41" s="44"/>
      <c r="K41" s="44"/>
      <c r="L41" s="44"/>
      <c r="M41" s="44"/>
    </row>
    <row r="42" spans="1:13" x14ac:dyDescent="0.3">
      <c r="A42" s="44"/>
      <c r="B42" s="44"/>
      <c r="C42" s="44"/>
      <c r="D42" s="44"/>
      <c r="E42" s="44"/>
      <c r="F42" s="44"/>
      <c r="G42" s="44"/>
      <c r="H42" s="44"/>
      <c r="I42" s="44"/>
      <c r="J42" s="44"/>
      <c r="K42" s="44"/>
      <c r="L42" s="44"/>
      <c r="M42" s="44"/>
    </row>
    <row r="43" spans="1:13" x14ac:dyDescent="0.3">
      <c r="A43" s="44"/>
      <c r="B43" s="44"/>
      <c r="C43" s="44"/>
      <c r="D43" s="44"/>
      <c r="E43" s="44"/>
      <c r="F43" s="44"/>
      <c r="G43" s="44"/>
      <c r="H43" s="44"/>
      <c r="I43" s="44"/>
      <c r="J43" s="44"/>
      <c r="K43" s="44"/>
      <c r="L43" s="44"/>
      <c r="M43" s="44"/>
    </row>
    <row r="44" spans="1:13" x14ac:dyDescent="0.3">
      <c r="A44" s="44"/>
      <c r="B44" s="44"/>
      <c r="C44" s="44"/>
      <c r="D44" s="44"/>
      <c r="E44" s="44"/>
      <c r="F44" s="44"/>
      <c r="G44" s="44"/>
      <c r="H44" s="44"/>
      <c r="I44" s="44"/>
      <c r="J44" s="44"/>
      <c r="K44" s="44"/>
      <c r="L44" s="44"/>
      <c r="M44" s="44"/>
    </row>
    <row r="45" spans="1:13" x14ac:dyDescent="0.3">
      <c r="A45" s="44"/>
      <c r="B45" s="44"/>
      <c r="C45" s="44"/>
      <c r="D45" s="44"/>
      <c r="E45" s="44"/>
      <c r="F45" s="44"/>
      <c r="G45" s="44"/>
      <c r="H45" s="44"/>
      <c r="I45" s="44"/>
      <c r="J45" s="44"/>
      <c r="K45" s="44"/>
      <c r="L45" s="44"/>
      <c r="M45" s="44"/>
    </row>
    <row r="46" spans="1:13" x14ac:dyDescent="0.3">
      <c r="A46" s="44"/>
      <c r="B46" s="44"/>
      <c r="C46" s="44"/>
      <c r="D46" s="44"/>
      <c r="E46" s="44"/>
      <c r="F46" s="44"/>
      <c r="G46" s="44"/>
      <c r="H46" s="44"/>
      <c r="I46" s="44"/>
      <c r="J46" s="44"/>
      <c r="K46" s="44"/>
      <c r="L46" s="44"/>
      <c r="M46" s="44"/>
    </row>
    <row r="47" spans="1:13" x14ac:dyDescent="0.3">
      <c r="A47" s="44"/>
      <c r="B47" s="44"/>
      <c r="C47" s="44"/>
      <c r="D47" s="44"/>
      <c r="E47" s="44"/>
      <c r="F47" s="44"/>
      <c r="G47" s="44"/>
      <c r="H47" s="44"/>
      <c r="I47" s="44"/>
      <c r="J47" s="44"/>
      <c r="K47" s="44"/>
      <c r="L47" s="44"/>
      <c r="M47" s="44"/>
    </row>
    <row r="48" spans="1:13" x14ac:dyDescent="0.3">
      <c r="A48" s="44"/>
      <c r="B48" s="44"/>
      <c r="C48" s="44"/>
      <c r="D48" s="44"/>
      <c r="E48" s="44"/>
      <c r="F48" s="44"/>
      <c r="G48" s="44"/>
      <c r="H48" s="44"/>
      <c r="I48" s="44"/>
      <c r="J48" s="44"/>
      <c r="K48" s="44"/>
      <c r="L48" s="44"/>
      <c r="M48" s="44"/>
    </row>
    <row r="49" spans="1:13" x14ac:dyDescent="0.3">
      <c r="A49" s="44"/>
      <c r="B49" s="44"/>
      <c r="C49" s="44"/>
      <c r="D49" s="44"/>
      <c r="E49" s="44"/>
      <c r="F49" s="44"/>
      <c r="G49" s="44"/>
      <c r="H49" s="44"/>
      <c r="I49" s="44"/>
      <c r="J49" s="44"/>
      <c r="K49" s="44"/>
      <c r="L49" s="44"/>
      <c r="M49" s="44"/>
    </row>
    <row r="50" spans="1:13" x14ac:dyDescent="0.3">
      <c r="A50" s="44"/>
      <c r="B50" s="44"/>
      <c r="C50" s="44"/>
      <c r="D50" s="44"/>
      <c r="E50" s="44"/>
      <c r="F50" s="44"/>
      <c r="G50" s="44"/>
      <c r="H50" s="44"/>
      <c r="I50" s="44"/>
      <c r="J50" s="44"/>
      <c r="K50" s="44"/>
      <c r="L50" s="44"/>
      <c r="M50" s="44"/>
    </row>
    <row r="51" spans="1:13" x14ac:dyDescent="0.3">
      <c r="A51" s="44"/>
      <c r="B51" s="44"/>
      <c r="C51" s="44"/>
      <c r="D51" s="44"/>
      <c r="E51" s="44"/>
      <c r="F51" s="44"/>
      <c r="G51" s="44"/>
      <c r="H51" s="44"/>
      <c r="I51" s="44"/>
      <c r="J51" s="44"/>
      <c r="K51" s="44"/>
      <c r="L51" s="44"/>
      <c r="M51" s="44"/>
    </row>
    <row r="52" spans="1:13" x14ac:dyDescent="0.3">
      <c r="A52" s="44"/>
      <c r="B52" s="44"/>
      <c r="C52" s="44"/>
      <c r="D52" s="44"/>
      <c r="E52" s="44"/>
      <c r="F52" s="44"/>
      <c r="G52" s="44"/>
      <c r="H52" s="44"/>
      <c r="I52" s="44"/>
      <c r="J52" s="44"/>
      <c r="K52" s="44"/>
      <c r="L52" s="44"/>
      <c r="M52" s="44"/>
    </row>
    <row r="53" spans="1:13" x14ac:dyDescent="0.3">
      <c r="A53" s="44"/>
      <c r="B53" s="44"/>
      <c r="C53" s="44"/>
      <c r="D53" s="44"/>
      <c r="E53" s="44"/>
      <c r="F53" s="44"/>
      <c r="G53" s="44"/>
      <c r="H53" s="44"/>
      <c r="I53" s="44"/>
      <c r="J53" s="44"/>
      <c r="K53" s="44"/>
      <c r="L53" s="44"/>
      <c r="M53" s="44"/>
    </row>
    <row r="54" spans="1:13" x14ac:dyDescent="0.3">
      <c r="A54" s="44"/>
      <c r="B54" s="44"/>
      <c r="C54" s="44"/>
      <c r="D54" s="44"/>
      <c r="E54" s="44"/>
      <c r="F54" s="44"/>
      <c r="G54" s="44"/>
      <c r="H54" s="44"/>
      <c r="I54" s="44"/>
      <c r="J54" s="44"/>
      <c r="K54" s="44"/>
      <c r="L54" s="44"/>
      <c r="M54" s="44"/>
    </row>
    <row r="55" spans="1:13" x14ac:dyDescent="0.3">
      <c r="A55" s="44"/>
      <c r="B55" s="44"/>
      <c r="C55" s="44"/>
      <c r="D55" s="44"/>
      <c r="E55" s="44"/>
      <c r="F55" s="44"/>
      <c r="G55" s="44"/>
      <c r="H55" s="44"/>
      <c r="I55" s="44"/>
      <c r="J55" s="44"/>
      <c r="K55" s="44"/>
      <c r="L55" s="44"/>
      <c r="M55" s="44"/>
    </row>
    <row r="56" spans="1:13" x14ac:dyDescent="0.3">
      <c r="A56" s="44"/>
      <c r="B56" s="44"/>
      <c r="C56" s="44"/>
      <c r="D56" s="44"/>
      <c r="E56" s="44"/>
      <c r="F56" s="44"/>
      <c r="G56" s="44"/>
      <c r="H56" s="44"/>
      <c r="I56" s="44"/>
      <c r="J56" s="44"/>
      <c r="K56" s="44"/>
      <c r="L56" s="44"/>
      <c r="M56" s="44"/>
    </row>
    <row r="57" spans="1:13" x14ac:dyDescent="0.3">
      <c r="A57" s="44"/>
      <c r="B57" s="44"/>
      <c r="C57" s="44"/>
      <c r="D57" s="44"/>
      <c r="E57" s="44"/>
      <c r="F57" s="44"/>
      <c r="G57" s="44"/>
      <c r="H57" s="44"/>
      <c r="I57" s="44"/>
      <c r="J57" s="44"/>
      <c r="K57" s="44"/>
      <c r="L57" s="44"/>
      <c r="M57" s="44"/>
    </row>
    <row r="58" spans="1:13" x14ac:dyDescent="0.3">
      <c r="A58" s="44"/>
      <c r="B58" s="44"/>
      <c r="C58" s="44"/>
      <c r="D58" s="44"/>
      <c r="E58" s="44"/>
      <c r="F58" s="44"/>
      <c r="G58" s="44"/>
      <c r="H58" s="44"/>
      <c r="I58" s="44"/>
      <c r="J58" s="44"/>
      <c r="K58" s="44"/>
      <c r="L58" s="44"/>
      <c r="M58" s="44"/>
    </row>
    <row r="59" spans="1:13" x14ac:dyDescent="0.3">
      <c r="A59" s="44"/>
      <c r="B59" s="44"/>
      <c r="C59" s="44"/>
      <c r="D59" s="44"/>
      <c r="E59" s="44"/>
      <c r="F59" s="44"/>
      <c r="G59" s="44"/>
      <c r="H59" s="44"/>
      <c r="I59" s="44"/>
      <c r="J59" s="44"/>
      <c r="K59" s="44"/>
      <c r="L59" s="44"/>
      <c r="M59" s="44"/>
    </row>
    <row r="60" spans="1:13" x14ac:dyDescent="0.3">
      <c r="A60" s="44"/>
      <c r="B60" s="44"/>
      <c r="C60" s="44"/>
      <c r="D60" s="44"/>
      <c r="E60" s="44"/>
      <c r="F60" s="44"/>
      <c r="G60" s="44"/>
      <c r="H60" s="44"/>
      <c r="I60" s="44"/>
      <c r="J60" s="44"/>
      <c r="K60" s="44"/>
      <c r="L60" s="44"/>
      <c r="M60" s="44"/>
    </row>
    <row r="61" spans="1:13" x14ac:dyDescent="0.3">
      <c r="A61" s="44"/>
      <c r="B61" s="44"/>
      <c r="C61" s="44"/>
      <c r="D61" s="44"/>
      <c r="E61" s="44"/>
      <c r="F61" s="44"/>
      <c r="G61" s="44"/>
      <c r="H61" s="44"/>
      <c r="I61" s="44"/>
      <c r="J61" s="44"/>
      <c r="K61" s="44"/>
      <c r="L61" s="44"/>
      <c r="M61" s="44"/>
    </row>
    <row r="62" spans="1:13" x14ac:dyDescent="0.3">
      <c r="A62" s="44"/>
      <c r="B62" s="44"/>
      <c r="C62" s="44"/>
      <c r="D62" s="44"/>
      <c r="E62" s="44"/>
      <c r="F62" s="44"/>
      <c r="G62" s="44"/>
      <c r="H62" s="44"/>
      <c r="I62" s="44"/>
      <c r="J62" s="44"/>
      <c r="K62" s="44"/>
      <c r="L62" s="44"/>
      <c r="M62" s="44"/>
    </row>
    <row r="63" spans="1:13" x14ac:dyDescent="0.3">
      <c r="A63" s="44"/>
      <c r="B63" s="44"/>
      <c r="C63" s="44"/>
      <c r="D63" s="44"/>
      <c r="E63" s="44"/>
      <c r="F63" s="44"/>
      <c r="G63" s="44"/>
      <c r="H63" s="44"/>
      <c r="I63" s="44"/>
      <c r="J63" s="44"/>
      <c r="K63" s="44"/>
      <c r="L63" s="44"/>
      <c r="M63" s="44"/>
    </row>
    <row r="64" spans="1:13" x14ac:dyDescent="0.3">
      <c r="A64" s="44"/>
      <c r="B64" s="44"/>
      <c r="C64" s="44"/>
      <c r="D64" s="44"/>
      <c r="E64" s="44"/>
      <c r="F64" s="44"/>
      <c r="G64" s="44"/>
      <c r="H64" s="44"/>
      <c r="I64" s="44"/>
      <c r="J64" s="44"/>
      <c r="K64" s="44"/>
      <c r="L64" s="44"/>
      <c r="M64" s="44"/>
    </row>
    <row r="65" spans="1:13" x14ac:dyDescent="0.3">
      <c r="A65" s="44"/>
      <c r="B65" s="44"/>
      <c r="C65" s="44"/>
      <c r="D65" s="44"/>
      <c r="E65" s="44"/>
      <c r="F65" s="44"/>
      <c r="G65" s="44"/>
      <c r="H65" s="44"/>
      <c r="I65" s="44"/>
      <c r="J65" s="44"/>
      <c r="K65" s="44"/>
      <c r="L65" s="44"/>
      <c r="M65" s="44"/>
    </row>
    <row r="66" spans="1:13" x14ac:dyDescent="0.3">
      <c r="A66" s="44"/>
      <c r="B66" s="44"/>
      <c r="C66" s="44"/>
      <c r="D66" s="44"/>
      <c r="E66" s="44"/>
      <c r="F66" s="44"/>
      <c r="G66" s="44"/>
      <c r="H66" s="44"/>
      <c r="I66" s="44"/>
      <c r="J66" s="44"/>
      <c r="K66" s="44"/>
      <c r="L66" s="44"/>
      <c r="M66" s="44"/>
    </row>
    <row r="67" spans="1:13" x14ac:dyDescent="0.3">
      <c r="A67" s="44"/>
      <c r="B67" s="44"/>
      <c r="C67" s="44"/>
      <c r="D67" s="44"/>
      <c r="E67" s="44"/>
      <c r="F67" s="44"/>
      <c r="G67" s="44"/>
      <c r="H67" s="44"/>
      <c r="I67" s="44"/>
      <c r="J67" s="44"/>
      <c r="K67" s="44"/>
      <c r="L67" s="44"/>
      <c r="M67" s="44"/>
    </row>
    <row r="68" spans="1:13" x14ac:dyDescent="0.3">
      <c r="A68" s="44"/>
      <c r="B68" s="44"/>
      <c r="C68" s="44"/>
      <c r="D68" s="44"/>
      <c r="E68" s="44"/>
      <c r="F68" s="44"/>
      <c r="G68" s="44"/>
      <c r="H68" s="44"/>
      <c r="I68" s="44"/>
      <c r="J68" s="44"/>
      <c r="K68" s="44"/>
      <c r="L68" s="44"/>
      <c r="M68" s="44"/>
    </row>
    <row r="69" spans="1:13" x14ac:dyDescent="0.3">
      <c r="A69" s="44"/>
      <c r="B69" s="44"/>
      <c r="C69" s="44"/>
      <c r="D69" s="44"/>
      <c r="E69" s="44"/>
      <c r="F69" s="44"/>
      <c r="G69" s="44"/>
      <c r="H69" s="44"/>
      <c r="I69" s="44"/>
      <c r="J69" s="44"/>
      <c r="K69" s="44"/>
      <c r="L69" s="44"/>
      <c r="M69" s="44"/>
    </row>
    <row r="70" spans="1:13" x14ac:dyDescent="0.3">
      <c r="A70" s="44"/>
      <c r="B70" s="44"/>
      <c r="C70" s="44"/>
      <c r="D70" s="44"/>
      <c r="E70" s="44"/>
      <c r="F70" s="44"/>
      <c r="G70" s="44"/>
      <c r="H70" s="44"/>
      <c r="I70" s="44"/>
      <c r="J70" s="44"/>
      <c r="K70" s="44"/>
      <c r="L70" s="44"/>
      <c r="M70" s="44"/>
    </row>
    <row r="71" spans="1:13" x14ac:dyDescent="0.3">
      <c r="A71" s="44"/>
      <c r="B71" s="44"/>
      <c r="C71" s="44"/>
      <c r="D71" s="44"/>
      <c r="E71" s="44"/>
      <c r="F71" s="44"/>
      <c r="G71" s="44"/>
      <c r="H71" s="44"/>
      <c r="I71" s="44"/>
      <c r="J71" s="44"/>
      <c r="K71" s="44"/>
      <c r="L71" s="44"/>
      <c r="M71" s="44"/>
    </row>
    <row r="72" spans="1:13" x14ac:dyDescent="0.3">
      <c r="A72" s="44"/>
      <c r="B72" s="44"/>
      <c r="C72" s="44"/>
      <c r="D72" s="44"/>
      <c r="E72" s="44"/>
      <c r="F72" s="44"/>
      <c r="G72" s="44"/>
      <c r="H72" s="44"/>
      <c r="I72" s="44"/>
      <c r="J72" s="44"/>
      <c r="K72" s="44"/>
      <c r="L72" s="44"/>
      <c r="M72" s="44"/>
    </row>
    <row r="73" spans="1:13" x14ac:dyDescent="0.3">
      <c r="A73" s="44"/>
      <c r="B73" s="44"/>
      <c r="C73" s="44"/>
      <c r="D73" s="44"/>
      <c r="E73" s="44"/>
      <c r="F73" s="44"/>
      <c r="G73" s="44"/>
      <c r="H73" s="44"/>
      <c r="I73" s="44"/>
      <c r="J73" s="44"/>
      <c r="K73" s="44"/>
      <c r="L73" s="44"/>
      <c r="M73" s="44"/>
    </row>
    <row r="74" spans="1:13" x14ac:dyDescent="0.3">
      <c r="A74" s="44"/>
      <c r="B74" s="44"/>
      <c r="C74" s="44"/>
      <c r="D74" s="44"/>
      <c r="E74" s="44"/>
      <c r="F74" s="44"/>
      <c r="G74" s="44"/>
      <c r="H74" s="44"/>
      <c r="I74" s="44"/>
      <c r="J74" s="44"/>
      <c r="K74" s="44"/>
      <c r="L74" s="44"/>
      <c r="M74" s="44"/>
    </row>
    <row r="75" spans="1:13" x14ac:dyDescent="0.3">
      <c r="A75" s="44"/>
      <c r="B75" s="44"/>
      <c r="C75" s="44"/>
      <c r="D75" s="44"/>
      <c r="E75" s="44"/>
      <c r="F75" s="44"/>
      <c r="G75" s="44"/>
      <c r="H75" s="44"/>
      <c r="I75" s="44"/>
      <c r="J75" s="44"/>
      <c r="K75" s="44"/>
      <c r="L75" s="44"/>
      <c r="M75" s="44"/>
    </row>
    <row r="76" spans="1:13" x14ac:dyDescent="0.3">
      <c r="A76" s="44"/>
      <c r="B76" s="44"/>
      <c r="C76" s="44"/>
      <c r="D76" s="44"/>
      <c r="E76" s="44"/>
      <c r="F76" s="44"/>
      <c r="G76" s="44"/>
      <c r="H76" s="44"/>
      <c r="I76" s="44"/>
      <c r="J76" s="44"/>
      <c r="K76" s="44"/>
      <c r="L76" s="44"/>
      <c r="M76" s="44"/>
    </row>
    <row r="77" spans="1:13" x14ac:dyDescent="0.3">
      <c r="A77" s="44"/>
      <c r="B77" s="44"/>
      <c r="C77" s="44"/>
      <c r="D77" s="44"/>
      <c r="E77" s="44"/>
      <c r="F77" s="44"/>
      <c r="G77" s="44"/>
      <c r="H77" s="44"/>
      <c r="I77" s="44"/>
      <c r="J77" s="44"/>
      <c r="K77" s="44"/>
      <c r="L77" s="44"/>
      <c r="M77" s="44"/>
    </row>
    <row r="78" spans="1:13" x14ac:dyDescent="0.3">
      <c r="A78" s="44"/>
      <c r="B78" s="44"/>
      <c r="C78" s="44"/>
      <c r="D78" s="44"/>
      <c r="E78" s="44"/>
      <c r="F78" s="44"/>
      <c r="G78" s="44"/>
      <c r="H78" s="44"/>
      <c r="I78" s="44"/>
      <c r="J78" s="44"/>
      <c r="K78" s="44"/>
      <c r="L78" s="44"/>
      <c r="M78" s="44"/>
    </row>
    <row r="79" spans="1:13" x14ac:dyDescent="0.3">
      <c r="A79" s="44"/>
      <c r="B79" s="44"/>
      <c r="C79" s="44"/>
      <c r="D79" s="44"/>
      <c r="E79" s="44"/>
      <c r="F79" s="44"/>
      <c r="G79" s="44"/>
      <c r="H79" s="44"/>
      <c r="I79" s="44"/>
      <c r="J79" s="44"/>
      <c r="K79" s="44"/>
      <c r="L79" s="44"/>
      <c r="M79" s="44"/>
    </row>
    <row r="80" spans="1:13" x14ac:dyDescent="0.3">
      <c r="A80" s="44"/>
      <c r="B80" s="44"/>
      <c r="C80" s="44"/>
      <c r="D80" s="44"/>
      <c r="E80" s="44"/>
      <c r="F80" s="44"/>
      <c r="G80" s="44"/>
      <c r="H80" s="44"/>
      <c r="I80" s="44"/>
      <c r="J80" s="44"/>
      <c r="K80" s="44"/>
      <c r="L80" s="44"/>
      <c r="M80" s="44"/>
    </row>
    <row r="81" spans="1:13" x14ac:dyDescent="0.3">
      <c r="A81" s="44"/>
      <c r="B81" s="44"/>
      <c r="C81" s="44"/>
      <c r="D81" s="44"/>
      <c r="E81" s="44"/>
      <c r="F81" s="44"/>
      <c r="G81" s="44"/>
      <c r="H81" s="44"/>
      <c r="I81" s="44"/>
      <c r="J81" s="44"/>
      <c r="K81" s="44"/>
      <c r="L81" s="44"/>
      <c r="M81" s="44"/>
    </row>
    <row r="82" spans="1:13" x14ac:dyDescent="0.3">
      <c r="A82" s="44"/>
      <c r="B82" s="44"/>
      <c r="C82" s="44"/>
      <c r="D82" s="44"/>
      <c r="E82" s="44"/>
      <c r="F82" s="44"/>
      <c r="G82" s="44"/>
      <c r="H82" s="44"/>
      <c r="I82" s="44"/>
      <c r="J82" s="44"/>
      <c r="K82" s="44"/>
      <c r="L82" s="44"/>
      <c r="M82" s="44"/>
    </row>
    <row r="83" spans="1:13" x14ac:dyDescent="0.3">
      <c r="A83" s="44"/>
      <c r="B83" s="44"/>
      <c r="C83" s="44"/>
      <c r="D83" s="44"/>
      <c r="E83" s="44"/>
      <c r="F83" s="44"/>
      <c r="G83" s="44"/>
      <c r="H83" s="44"/>
      <c r="I83" s="44"/>
      <c r="J83" s="44"/>
      <c r="K83" s="44"/>
      <c r="L83" s="44"/>
      <c r="M83" s="44"/>
    </row>
    <row r="84" spans="1:13" x14ac:dyDescent="0.3">
      <c r="A84" s="44"/>
      <c r="B84" s="44"/>
      <c r="C84" s="44"/>
      <c r="D84" s="44"/>
      <c r="E84" s="44"/>
      <c r="F84" s="44"/>
      <c r="G84" s="44"/>
      <c r="H84" s="44"/>
      <c r="I84" s="44"/>
      <c r="J84" s="44"/>
      <c r="K84" s="44"/>
      <c r="L84" s="44"/>
      <c r="M84" s="44"/>
    </row>
    <row r="85" spans="1:13" x14ac:dyDescent="0.3">
      <c r="A85" s="44"/>
      <c r="B85" s="44"/>
      <c r="C85" s="44"/>
      <c r="D85" s="44"/>
      <c r="E85" s="44"/>
      <c r="F85" s="44"/>
      <c r="G85" s="44"/>
      <c r="H85" s="44"/>
      <c r="I85" s="44"/>
      <c r="J85" s="44"/>
      <c r="K85" s="44"/>
      <c r="L85" s="44"/>
      <c r="M85" s="44"/>
    </row>
    <row r="86" spans="1:13" x14ac:dyDescent="0.3">
      <c r="A86" s="44"/>
      <c r="B86" s="44"/>
      <c r="C86" s="44"/>
      <c r="D86" s="44"/>
      <c r="E86" s="44"/>
      <c r="F86" s="44"/>
      <c r="G86" s="44"/>
      <c r="H86" s="44"/>
      <c r="I86" s="44"/>
      <c r="J86" s="44"/>
      <c r="K86" s="44"/>
      <c r="L86" s="44"/>
      <c r="M86" s="44"/>
    </row>
    <row r="87" spans="1:13" x14ac:dyDescent="0.3">
      <c r="A87" s="44"/>
      <c r="B87" s="44"/>
      <c r="C87" s="44"/>
      <c r="D87" s="44"/>
      <c r="E87" s="44"/>
      <c r="F87" s="44"/>
      <c r="G87" s="44"/>
      <c r="H87" s="44"/>
      <c r="I87" s="44"/>
      <c r="J87" s="44"/>
      <c r="K87" s="44"/>
      <c r="L87" s="44"/>
      <c r="M87" s="44"/>
    </row>
    <row r="88" spans="1:13" x14ac:dyDescent="0.3">
      <c r="A88" s="44"/>
      <c r="B88" s="44"/>
      <c r="C88" s="44"/>
      <c r="D88" s="44"/>
      <c r="E88" s="44"/>
      <c r="F88" s="44"/>
      <c r="G88" s="44"/>
      <c r="H88" s="44"/>
      <c r="I88" s="44"/>
      <c r="J88" s="44"/>
      <c r="K88" s="44"/>
      <c r="L88" s="44"/>
      <c r="M88" s="44"/>
    </row>
    <row r="89" spans="1:13" x14ac:dyDescent="0.3">
      <c r="A89" s="44"/>
      <c r="B89" s="44"/>
      <c r="C89" s="44"/>
      <c r="D89" s="44"/>
      <c r="E89" s="44"/>
      <c r="F89" s="44"/>
      <c r="G89" s="44"/>
      <c r="H89" s="44"/>
      <c r="I89" s="44"/>
      <c r="J89" s="44"/>
      <c r="K89" s="44"/>
      <c r="L89" s="44"/>
      <c r="M89" s="44"/>
    </row>
    <row r="90" spans="1:13" x14ac:dyDescent="0.3">
      <c r="A90" s="44"/>
      <c r="B90" s="44"/>
      <c r="C90" s="44"/>
      <c r="D90" s="44"/>
      <c r="E90" s="44"/>
      <c r="F90" s="44"/>
      <c r="G90" s="44"/>
      <c r="H90" s="44"/>
      <c r="I90" s="44"/>
      <c r="J90" s="44"/>
      <c r="K90" s="44"/>
      <c r="L90" s="44"/>
      <c r="M90" s="44"/>
    </row>
    <row r="91" spans="1:13" x14ac:dyDescent="0.3">
      <c r="A91" s="44"/>
      <c r="B91" s="44"/>
      <c r="C91" s="44"/>
      <c r="D91" s="44"/>
      <c r="E91" s="44"/>
      <c r="F91" s="44"/>
      <c r="G91" s="44"/>
      <c r="H91" s="44"/>
      <c r="I91" s="44"/>
      <c r="J91" s="44"/>
      <c r="K91" s="44"/>
      <c r="L91" s="44"/>
      <c r="M91" s="44"/>
    </row>
    <row r="92" spans="1:13" x14ac:dyDescent="0.3">
      <c r="A92" s="44"/>
      <c r="B92" s="44"/>
      <c r="C92" s="44"/>
      <c r="D92" s="44"/>
      <c r="E92" s="44"/>
      <c r="F92" s="44"/>
      <c r="G92" s="44"/>
      <c r="H92" s="44"/>
      <c r="I92" s="44"/>
      <c r="J92" s="44"/>
      <c r="K92" s="44"/>
      <c r="L92" s="44"/>
      <c r="M92" s="44"/>
    </row>
    <row r="93" spans="1:13" x14ac:dyDescent="0.3">
      <c r="A93" s="44"/>
      <c r="B93" s="44"/>
      <c r="C93" s="44"/>
      <c r="D93" s="44"/>
      <c r="E93" s="44"/>
      <c r="F93" s="44"/>
      <c r="G93" s="44"/>
      <c r="H93" s="44"/>
      <c r="I93" s="44"/>
      <c r="J93" s="44"/>
      <c r="K93" s="44"/>
      <c r="L93" s="44"/>
      <c r="M93" s="44"/>
    </row>
    <row r="94" spans="1:13" x14ac:dyDescent="0.3">
      <c r="A94" s="44"/>
      <c r="B94" s="44"/>
      <c r="C94" s="44"/>
      <c r="D94" s="44"/>
      <c r="E94" s="44"/>
      <c r="F94" s="44"/>
      <c r="G94" s="44"/>
      <c r="H94" s="44"/>
      <c r="I94" s="44"/>
      <c r="J94" s="44"/>
      <c r="K94" s="44"/>
      <c r="L94" s="44"/>
      <c r="M94" s="44"/>
    </row>
    <row r="95" spans="1:13" x14ac:dyDescent="0.3">
      <c r="A95" s="44"/>
      <c r="B95" s="44"/>
      <c r="C95" s="44"/>
      <c r="D95" s="44"/>
      <c r="E95" s="44"/>
      <c r="F95" s="44"/>
      <c r="G95" s="44"/>
      <c r="H95" s="44"/>
      <c r="I95" s="44"/>
      <c r="J95" s="44"/>
      <c r="K95" s="44"/>
      <c r="L95" s="44"/>
      <c r="M95" s="44"/>
    </row>
    <row r="96" spans="1:13" x14ac:dyDescent="0.3">
      <c r="A96" s="44"/>
      <c r="B96" s="44"/>
      <c r="C96" s="44"/>
      <c r="D96" s="44"/>
      <c r="E96" s="44"/>
      <c r="F96" s="44"/>
      <c r="G96" s="44"/>
      <c r="H96" s="44"/>
      <c r="I96" s="44"/>
      <c r="J96" s="44"/>
      <c r="K96" s="44"/>
      <c r="L96" s="44"/>
      <c r="M96" s="44"/>
    </row>
    <row r="97" spans="1:13" x14ac:dyDescent="0.3">
      <c r="A97" s="44"/>
      <c r="B97" s="44"/>
      <c r="C97" s="44"/>
      <c r="D97" s="44"/>
      <c r="E97" s="44"/>
      <c r="F97" s="44"/>
      <c r="G97" s="44"/>
      <c r="H97" s="44"/>
      <c r="I97" s="44"/>
      <c r="J97" s="44"/>
      <c r="K97" s="44"/>
      <c r="L97" s="44"/>
      <c r="M97" s="44"/>
    </row>
    <row r="98" spans="1:13" x14ac:dyDescent="0.3">
      <c r="A98" s="44"/>
      <c r="B98" s="44"/>
      <c r="C98" s="44"/>
      <c r="D98" s="44"/>
      <c r="E98" s="44"/>
      <c r="F98" s="44"/>
      <c r="G98" s="44"/>
      <c r="H98" s="44"/>
      <c r="I98" s="44"/>
      <c r="J98" s="44"/>
      <c r="K98" s="44"/>
      <c r="L98" s="44"/>
      <c r="M98" s="44"/>
    </row>
    <row r="99" spans="1:13" x14ac:dyDescent="0.3">
      <c r="A99" s="44"/>
      <c r="B99" s="44"/>
      <c r="C99" s="44"/>
      <c r="D99" s="44"/>
      <c r="E99" s="44"/>
      <c r="F99" s="44"/>
      <c r="G99" s="44"/>
      <c r="H99" s="44"/>
      <c r="I99" s="44"/>
      <c r="J99" s="44"/>
      <c r="K99" s="44"/>
      <c r="L99" s="44"/>
      <c r="M99" s="44"/>
    </row>
    <row r="100" spans="1:13" x14ac:dyDescent="0.3">
      <c r="A100" s="44"/>
      <c r="B100" s="44"/>
      <c r="C100" s="44"/>
      <c r="D100" s="44"/>
      <c r="E100" s="44"/>
      <c r="F100" s="44"/>
      <c r="G100" s="44"/>
      <c r="H100" s="44"/>
      <c r="I100" s="44"/>
      <c r="J100" s="44"/>
      <c r="K100" s="44"/>
      <c r="L100" s="44"/>
      <c r="M100" s="44"/>
    </row>
    <row r="101" spans="1:13" x14ac:dyDescent="0.3">
      <c r="A101" s="44"/>
      <c r="B101" s="44"/>
      <c r="C101" s="44"/>
      <c r="D101" s="44"/>
      <c r="E101" s="44"/>
      <c r="F101" s="44"/>
      <c r="G101" s="44"/>
      <c r="H101" s="44"/>
      <c r="I101" s="44"/>
      <c r="J101" s="44"/>
      <c r="K101" s="44"/>
      <c r="L101" s="44"/>
      <c r="M101" s="44"/>
    </row>
    <row r="102" spans="1:13" x14ac:dyDescent="0.3">
      <c r="A102" s="44"/>
      <c r="B102" s="44"/>
      <c r="C102" s="44"/>
      <c r="D102" s="44"/>
      <c r="E102" s="44"/>
      <c r="F102" s="44"/>
      <c r="G102" s="44"/>
      <c r="H102" s="44"/>
      <c r="I102" s="44"/>
      <c r="J102" s="44"/>
      <c r="K102" s="44"/>
      <c r="L102" s="44"/>
      <c r="M102" s="44"/>
    </row>
    <row r="103" spans="1:13" x14ac:dyDescent="0.3">
      <c r="A103" s="44"/>
      <c r="B103" s="44"/>
      <c r="C103" s="44"/>
      <c r="D103" s="44"/>
      <c r="E103" s="44"/>
      <c r="F103" s="44"/>
      <c r="G103" s="44"/>
      <c r="H103" s="44"/>
      <c r="I103" s="44"/>
      <c r="J103" s="44"/>
      <c r="K103" s="44"/>
      <c r="L103" s="44"/>
      <c r="M103" s="44"/>
    </row>
    <row r="104" spans="1:13" x14ac:dyDescent="0.3">
      <c r="A104" s="44"/>
      <c r="B104" s="44"/>
      <c r="C104" s="44"/>
      <c r="D104" s="44"/>
      <c r="E104" s="44"/>
      <c r="F104" s="44"/>
      <c r="G104" s="44"/>
      <c r="H104" s="44"/>
      <c r="I104" s="44"/>
      <c r="J104" s="44"/>
      <c r="K104" s="44"/>
      <c r="L104" s="44"/>
      <c r="M104" s="44"/>
    </row>
    <row r="105" spans="1:13" x14ac:dyDescent="0.3">
      <c r="A105" s="44"/>
      <c r="B105" s="44"/>
      <c r="C105" s="44"/>
      <c r="D105" s="44"/>
      <c r="E105" s="44"/>
      <c r="F105" s="44"/>
      <c r="G105" s="44"/>
      <c r="H105" s="44"/>
      <c r="I105" s="44"/>
      <c r="J105" s="44"/>
      <c r="K105" s="44"/>
      <c r="L105" s="44"/>
      <c r="M105" s="44"/>
    </row>
    <row r="106" spans="1:13" x14ac:dyDescent="0.3">
      <c r="A106" s="44"/>
      <c r="B106" s="44"/>
      <c r="C106" s="44"/>
      <c r="D106" s="44"/>
      <c r="E106" s="44"/>
      <c r="F106" s="44"/>
      <c r="G106" s="44"/>
      <c r="H106" s="44"/>
      <c r="I106" s="44"/>
      <c r="J106" s="44"/>
      <c r="K106" s="44"/>
      <c r="L106" s="44"/>
      <c r="M106" s="44"/>
    </row>
    <row r="107" spans="1:13" x14ac:dyDescent="0.3">
      <c r="A107" s="44"/>
      <c r="B107" s="44"/>
      <c r="C107" s="44"/>
      <c r="D107" s="44"/>
      <c r="E107" s="44"/>
      <c r="F107" s="44"/>
      <c r="G107" s="44"/>
      <c r="H107" s="44"/>
      <c r="I107" s="44"/>
      <c r="J107" s="44"/>
      <c r="K107" s="44"/>
      <c r="L107" s="44"/>
      <c r="M107" s="44"/>
    </row>
    <row r="108" spans="1:13" x14ac:dyDescent="0.3">
      <c r="A108" s="44"/>
      <c r="B108" s="44"/>
      <c r="C108" s="44"/>
      <c r="D108" s="44"/>
      <c r="E108" s="44"/>
      <c r="F108" s="44"/>
      <c r="G108" s="44"/>
      <c r="H108" s="44"/>
      <c r="I108" s="44"/>
      <c r="J108" s="44"/>
      <c r="K108" s="44"/>
      <c r="L108" s="44"/>
      <c r="M108" s="44"/>
    </row>
    <row r="109" spans="1:13" x14ac:dyDescent="0.3">
      <c r="A109" s="44"/>
      <c r="B109" s="44"/>
      <c r="C109" s="44"/>
      <c r="D109" s="44"/>
      <c r="E109" s="44"/>
      <c r="F109" s="44"/>
      <c r="G109" s="44"/>
      <c r="H109" s="44"/>
      <c r="I109" s="44"/>
      <c r="J109" s="44"/>
      <c r="K109" s="44"/>
      <c r="L109" s="44"/>
      <c r="M109" s="44"/>
    </row>
    <row r="110" spans="1:13" x14ac:dyDescent="0.3">
      <c r="A110" s="44"/>
      <c r="B110" s="44"/>
      <c r="C110" s="44"/>
      <c r="D110" s="44"/>
      <c r="E110" s="44"/>
      <c r="F110" s="44"/>
      <c r="G110" s="44"/>
      <c r="H110" s="44"/>
      <c r="I110" s="44"/>
      <c r="J110" s="44"/>
      <c r="K110" s="44"/>
      <c r="L110" s="44"/>
      <c r="M110" s="44"/>
    </row>
    <row r="111" spans="1:13" x14ac:dyDescent="0.3">
      <c r="A111" s="44"/>
      <c r="B111" s="44"/>
      <c r="C111" s="44"/>
      <c r="D111" s="44"/>
      <c r="E111" s="44"/>
      <c r="F111" s="44"/>
      <c r="G111" s="44"/>
      <c r="H111" s="44"/>
      <c r="I111" s="44"/>
      <c r="J111" s="44"/>
      <c r="K111" s="44"/>
      <c r="L111" s="44"/>
      <c r="M111" s="44"/>
    </row>
    <row r="112" spans="1:13" x14ac:dyDescent="0.3">
      <c r="A112" s="44"/>
      <c r="B112" s="44"/>
      <c r="C112" s="44"/>
      <c r="D112" s="44"/>
      <c r="E112" s="44"/>
      <c r="F112" s="44"/>
      <c r="G112" s="44"/>
      <c r="H112" s="44"/>
      <c r="I112" s="44"/>
      <c r="J112" s="44"/>
      <c r="K112" s="44"/>
      <c r="L112" s="44"/>
      <c r="M112" s="44"/>
    </row>
    <row r="113" spans="1:13" x14ac:dyDescent="0.3">
      <c r="A113" s="44"/>
      <c r="B113" s="44"/>
      <c r="C113" s="44"/>
      <c r="D113" s="44"/>
      <c r="E113" s="44"/>
      <c r="F113" s="44"/>
      <c r="G113" s="44"/>
      <c r="H113" s="44"/>
      <c r="I113" s="44"/>
      <c r="J113" s="44"/>
      <c r="K113" s="44"/>
      <c r="L113" s="44"/>
      <c r="M113" s="44"/>
    </row>
    <row r="114" spans="1:13" x14ac:dyDescent="0.3">
      <c r="A114" s="44"/>
      <c r="B114" s="44"/>
      <c r="C114" s="44"/>
      <c r="D114" s="44"/>
      <c r="E114" s="44"/>
      <c r="F114" s="44"/>
      <c r="G114" s="44"/>
      <c r="H114" s="44"/>
      <c r="I114" s="44"/>
      <c r="J114" s="44"/>
      <c r="K114" s="44"/>
      <c r="L114" s="44"/>
      <c r="M114" s="44"/>
    </row>
    <row r="115" spans="1:13" x14ac:dyDescent="0.3">
      <c r="A115" s="44"/>
      <c r="B115" s="44"/>
      <c r="C115" s="44"/>
      <c r="D115" s="44"/>
      <c r="E115" s="44"/>
      <c r="F115" s="44"/>
      <c r="G115" s="44"/>
      <c r="H115" s="44"/>
      <c r="I115" s="44"/>
      <c r="J115" s="44"/>
      <c r="K115" s="44"/>
      <c r="L115" s="44"/>
      <c r="M115" s="44"/>
    </row>
    <row r="116" spans="1:13" x14ac:dyDescent="0.3">
      <c r="A116" s="44"/>
      <c r="B116" s="44"/>
      <c r="C116" s="44"/>
      <c r="D116" s="44"/>
      <c r="E116" s="44"/>
      <c r="F116" s="44"/>
      <c r="G116" s="44"/>
      <c r="H116" s="44"/>
      <c r="I116" s="44"/>
      <c r="J116" s="44"/>
      <c r="K116" s="44"/>
      <c r="L116" s="44"/>
      <c r="M116" s="44"/>
    </row>
    <row r="117" spans="1:13" x14ac:dyDescent="0.3">
      <c r="A117" s="44"/>
      <c r="B117" s="44"/>
      <c r="C117" s="44"/>
      <c r="D117" s="44"/>
      <c r="E117" s="44"/>
      <c r="F117" s="44"/>
      <c r="G117" s="44"/>
      <c r="H117" s="44"/>
      <c r="I117" s="44"/>
      <c r="J117" s="44"/>
      <c r="K117" s="44"/>
      <c r="L117" s="44"/>
      <c r="M117" s="44"/>
    </row>
    <row r="118" spans="1:13" x14ac:dyDescent="0.3">
      <c r="A118" s="44"/>
      <c r="B118" s="44"/>
      <c r="C118" s="44"/>
      <c r="D118" s="44"/>
      <c r="E118" s="44"/>
      <c r="F118" s="44"/>
      <c r="G118" s="44"/>
      <c r="H118" s="44"/>
      <c r="I118" s="44"/>
      <c r="J118" s="44"/>
      <c r="K118" s="44"/>
      <c r="L118" s="44"/>
      <c r="M118" s="44"/>
    </row>
    <row r="119" spans="1:13" x14ac:dyDescent="0.3">
      <c r="A119" s="44"/>
      <c r="B119" s="44"/>
      <c r="C119" s="44"/>
      <c r="D119" s="44"/>
      <c r="E119" s="44"/>
      <c r="F119" s="44"/>
      <c r="G119" s="44"/>
      <c r="H119" s="44"/>
      <c r="I119" s="44"/>
      <c r="J119" s="44"/>
      <c r="K119" s="44"/>
      <c r="L119" s="44"/>
      <c r="M119" s="44"/>
    </row>
    <row r="120" spans="1:13" x14ac:dyDescent="0.3">
      <c r="A120" s="44"/>
      <c r="B120" s="44"/>
      <c r="C120" s="44"/>
      <c r="D120" s="44"/>
      <c r="E120" s="44"/>
      <c r="F120" s="44"/>
      <c r="G120" s="44"/>
      <c r="H120" s="44"/>
      <c r="I120" s="44"/>
      <c r="J120" s="44"/>
      <c r="K120" s="44"/>
      <c r="L120" s="44"/>
      <c r="M120" s="44"/>
    </row>
    <row r="121" spans="1:13" x14ac:dyDescent="0.3">
      <c r="A121" s="44"/>
      <c r="B121" s="44"/>
      <c r="C121" s="44"/>
      <c r="D121" s="44"/>
      <c r="E121" s="44"/>
      <c r="F121" s="44"/>
      <c r="G121" s="44"/>
      <c r="H121" s="44"/>
      <c r="I121" s="44"/>
      <c r="J121" s="44"/>
      <c r="K121" s="44"/>
      <c r="L121" s="44"/>
      <c r="M121" s="44"/>
    </row>
    <row r="122" spans="1:13" x14ac:dyDescent="0.3">
      <c r="A122" s="44"/>
      <c r="B122" s="44"/>
      <c r="C122" s="44"/>
      <c r="D122" s="44"/>
      <c r="E122" s="44"/>
      <c r="F122" s="44"/>
      <c r="G122" s="44"/>
      <c r="H122" s="44"/>
      <c r="I122" s="44"/>
      <c r="J122" s="44"/>
      <c r="K122" s="44"/>
      <c r="L122" s="44"/>
      <c r="M122" s="44"/>
    </row>
    <row r="123" spans="1:13" x14ac:dyDescent="0.3">
      <c r="A123" s="44"/>
      <c r="B123" s="44"/>
      <c r="C123" s="44"/>
      <c r="D123" s="44"/>
      <c r="E123" s="44"/>
      <c r="F123" s="44"/>
      <c r="G123" s="44"/>
      <c r="H123" s="44"/>
      <c r="I123" s="44"/>
      <c r="J123" s="44"/>
      <c r="K123" s="44"/>
      <c r="L123" s="44"/>
      <c r="M123" s="44"/>
    </row>
    <row r="124" spans="1:13" x14ac:dyDescent="0.3">
      <c r="A124" s="44"/>
      <c r="B124" s="44"/>
      <c r="C124" s="44"/>
      <c r="D124" s="44"/>
      <c r="E124" s="44"/>
      <c r="F124" s="44"/>
      <c r="G124" s="44"/>
      <c r="H124" s="44"/>
      <c r="I124" s="44"/>
      <c r="J124" s="44"/>
      <c r="K124" s="44"/>
      <c r="L124" s="44"/>
      <c r="M124" s="44"/>
    </row>
    <row r="125" spans="1:13" x14ac:dyDescent="0.3">
      <c r="A125" s="44"/>
      <c r="B125" s="44"/>
      <c r="C125" s="44"/>
      <c r="D125" s="44"/>
      <c r="E125" s="44"/>
      <c r="F125" s="44"/>
      <c r="G125" s="44"/>
      <c r="H125" s="44"/>
      <c r="I125" s="44"/>
      <c r="J125" s="44"/>
      <c r="K125" s="44"/>
      <c r="L125" s="44"/>
      <c r="M125" s="44"/>
    </row>
    <row r="126" spans="1:13" x14ac:dyDescent="0.3">
      <c r="A126" s="44"/>
      <c r="B126" s="44"/>
      <c r="C126" s="44"/>
      <c r="D126" s="44"/>
      <c r="E126" s="44"/>
      <c r="F126" s="44"/>
      <c r="G126" s="44"/>
      <c r="H126" s="44"/>
      <c r="I126" s="44"/>
      <c r="J126" s="44"/>
      <c r="K126" s="44"/>
      <c r="L126" s="44"/>
      <c r="M126" s="44"/>
    </row>
    <row r="127" spans="1:13" x14ac:dyDescent="0.3">
      <c r="A127" s="44"/>
      <c r="B127" s="44"/>
      <c r="C127" s="44"/>
      <c r="D127" s="44"/>
      <c r="E127" s="44"/>
      <c r="F127" s="44"/>
      <c r="G127" s="44"/>
      <c r="H127" s="44"/>
      <c r="I127" s="44"/>
      <c r="J127" s="44"/>
      <c r="K127" s="44"/>
      <c r="L127" s="44"/>
      <c r="M127" s="44"/>
    </row>
    <row r="128" spans="1:13" x14ac:dyDescent="0.3">
      <c r="A128" s="44"/>
      <c r="B128" s="44"/>
      <c r="C128" s="44"/>
      <c r="D128" s="44"/>
      <c r="E128" s="44"/>
      <c r="F128" s="44"/>
      <c r="G128" s="44"/>
      <c r="H128" s="44"/>
      <c r="I128" s="44"/>
      <c r="J128" s="44"/>
      <c r="K128" s="44"/>
      <c r="L128" s="44"/>
      <c r="M128" s="44"/>
    </row>
    <row r="129" spans="1:13" x14ac:dyDescent="0.3">
      <c r="A129" s="44"/>
      <c r="B129" s="44"/>
      <c r="C129" s="44"/>
      <c r="D129" s="44"/>
      <c r="E129" s="44"/>
      <c r="F129" s="44"/>
      <c r="G129" s="44"/>
      <c r="H129" s="44"/>
      <c r="I129" s="44"/>
      <c r="J129" s="44"/>
      <c r="K129" s="44"/>
      <c r="L129" s="44"/>
      <c r="M129" s="44"/>
    </row>
    <row r="130" spans="1:13" x14ac:dyDescent="0.3">
      <c r="A130" s="44"/>
      <c r="B130" s="44"/>
      <c r="C130" s="44"/>
      <c r="D130" s="44"/>
      <c r="E130" s="44"/>
      <c r="F130" s="44"/>
      <c r="G130" s="44"/>
      <c r="H130" s="44"/>
      <c r="I130" s="44"/>
      <c r="J130" s="44"/>
      <c r="K130" s="44"/>
      <c r="L130" s="44"/>
      <c r="M130" s="44"/>
    </row>
    <row r="131" spans="1:13" x14ac:dyDescent="0.3">
      <c r="A131" s="44"/>
      <c r="B131" s="44"/>
      <c r="C131" s="44"/>
      <c r="D131" s="44"/>
      <c r="E131" s="44"/>
      <c r="F131" s="44"/>
      <c r="G131" s="44"/>
      <c r="H131" s="44"/>
      <c r="I131" s="44"/>
      <c r="J131" s="44"/>
      <c r="K131" s="44"/>
      <c r="L131" s="44"/>
      <c r="M131" s="44"/>
    </row>
    <row r="132" spans="1:13" x14ac:dyDescent="0.3">
      <c r="A132" s="44"/>
      <c r="B132" s="44"/>
      <c r="C132" s="44"/>
      <c r="D132" s="44"/>
      <c r="E132" s="44"/>
      <c r="F132" s="44"/>
      <c r="G132" s="44"/>
      <c r="H132" s="44"/>
      <c r="I132" s="44"/>
      <c r="J132" s="44"/>
      <c r="K132" s="44"/>
      <c r="L132" s="44"/>
      <c r="M132" s="44"/>
    </row>
    <row r="133" spans="1:13" x14ac:dyDescent="0.3">
      <c r="A133" s="44"/>
      <c r="B133" s="44"/>
      <c r="C133" s="44"/>
      <c r="D133" s="44"/>
      <c r="E133" s="44"/>
      <c r="F133" s="44"/>
      <c r="G133" s="44"/>
      <c r="H133" s="44"/>
      <c r="I133" s="44"/>
      <c r="J133" s="44"/>
      <c r="K133" s="44"/>
      <c r="L133" s="44"/>
      <c r="M133" s="44"/>
    </row>
    <row r="134" spans="1:13" x14ac:dyDescent="0.3">
      <c r="A134" s="44"/>
      <c r="B134" s="44"/>
      <c r="C134" s="44"/>
      <c r="D134" s="44"/>
      <c r="E134" s="44"/>
      <c r="F134" s="44"/>
      <c r="G134" s="44"/>
      <c r="H134" s="44"/>
      <c r="I134" s="44"/>
      <c r="J134" s="44"/>
      <c r="K134" s="44"/>
      <c r="L134" s="44"/>
      <c r="M134" s="44"/>
    </row>
    <row r="135" spans="1:13" x14ac:dyDescent="0.3">
      <c r="A135" s="44"/>
      <c r="B135" s="44"/>
      <c r="C135" s="44"/>
      <c r="D135" s="44"/>
      <c r="E135" s="44"/>
      <c r="F135" s="44"/>
      <c r="G135" s="44"/>
      <c r="H135" s="44"/>
      <c r="I135" s="44"/>
      <c r="J135" s="44"/>
      <c r="K135" s="44"/>
      <c r="L135" s="44"/>
      <c r="M135" s="44"/>
    </row>
    <row r="136" spans="1:13" x14ac:dyDescent="0.3">
      <c r="A136" s="44"/>
      <c r="B136" s="44"/>
      <c r="C136" s="44"/>
      <c r="D136" s="44"/>
      <c r="E136" s="44"/>
      <c r="F136" s="44"/>
      <c r="G136" s="44"/>
      <c r="H136" s="44"/>
      <c r="I136" s="44"/>
      <c r="J136" s="44"/>
      <c r="K136" s="44"/>
      <c r="L136" s="44"/>
      <c r="M136" s="44"/>
    </row>
    <row r="137" spans="1:13" x14ac:dyDescent="0.3">
      <c r="A137" s="44"/>
      <c r="B137" s="44"/>
      <c r="C137" s="44"/>
      <c r="D137" s="44"/>
      <c r="E137" s="44"/>
      <c r="F137" s="44"/>
      <c r="G137" s="44"/>
      <c r="H137" s="44"/>
      <c r="I137" s="44"/>
      <c r="J137" s="44"/>
      <c r="K137" s="44"/>
      <c r="L137" s="44"/>
      <c r="M137" s="44"/>
    </row>
    <row r="138" spans="1:13" x14ac:dyDescent="0.3">
      <c r="A138" s="44"/>
      <c r="B138" s="44"/>
      <c r="C138" s="44"/>
      <c r="D138" s="44"/>
      <c r="E138" s="44"/>
      <c r="F138" s="44"/>
      <c r="G138" s="44"/>
      <c r="H138" s="44"/>
      <c r="I138" s="44"/>
      <c r="J138" s="44"/>
      <c r="K138" s="44"/>
      <c r="L138" s="44"/>
      <c r="M138" s="44"/>
    </row>
    <row r="139" spans="1:13" x14ac:dyDescent="0.3">
      <c r="A139" s="44"/>
      <c r="B139" s="44"/>
      <c r="C139" s="44"/>
      <c r="D139" s="44"/>
      <c r="E139" s="44"/>
      <c r="F139" s="44"/>
      <c r="G139" s="44"/>
      <c r="H139" s="44"/>
      <c r="I139" s="44"/>
      <c r="J139" s="44"/>
      <c r="K139" s="44"/>
      <c r="L139" s="44"/>
      <c r="M139" s="44"/>
    </row>
    <row r="140" spans="1:13" x14ac:dyDescent="0.3">
      <c r="A140" s="44"/>
      <c r="B140" s="44"/>
      <c r="C140" s="44"/>
      <c r="D140" s="44"/>
      <c r="E140" s="44"/>
      <c r="F140" s="44"/>
      <c r="G140" s="44"/>
      <c r="H140" s="44"/>
      <c r="I140" s="44"/>
      <c r="J140" s="44"/>
      <c r="K140" s="44"/>
      <c r="L140" s="44"/>
      <c r="M140" s="44"/>
    </row>
    <row r="141" spans="1:13" x14ac:dyDescent="0.3">
      <c r="A141" s="44"/>
      <c r="B141" s="44"/>
      <c r="C141" s="44"/>
      <c r="D141" s="44"/>
      <c r="E141" s="44"/>
      <c r="F141" s="44"/>
      <c r="G141" s="44"/>
      <c r="H141" s="44"/>
      <c r="I141" s="44"/>
      <c r="J141" s="44"/>
      <c r="K141" s="44"/>
      <c r="L141" s="44"/>
      <c r="M141" s="44"/>
    </row>
    <row r="142" spans="1:13" x14ac:dyDescent="0.3">
      <c r="A142" s="44"/>
      <c r="B142" s="44"/>
      <c r="C142" s="44"/>
      <c r="D142" s="44"/>
      <c r="E142" s="44"/>
      <c r="F142" s="44"/>
      <c r="G142" s="44"/>
      <c r="H142" s="44"/>
      <c r="I142" s="44"/>
      <c r="J142" s="44"/>
      <c r="K142" s="44"/>
      <c r="L142" s="44"/>
      <c r="M142" s="44"/>
    </row>
    <row r="143" spans="1:13" x14ac:dyDescent="0.3">
      <c r="A143" s="44"/>
      <c r="B143" s="44"/>
      <c r="C143" s="44"/>
      <c r="D143" s="44"/>
      <c r="E143" s="44"/>
      <c r="F143" s="44"/>
      <c r="G143" s="44"/>
      <c r="H143" s="44"/>
      <c r="I143" s="44"/>
      <c r="J143" s="44"/>
      <c r="K143" s="44"/>
      <c r="L143" s="44"/>
      <c r="M143" s="44"/>
    </row>
    <row r="144" spans="1:13" x14ac:dyDescent="0.3">
      <c r="A144" s="44"/>
      <c r="B144" s="44"/>
      <c r="C144" s="44"/>
      <c r="D144" s="44"/>
      <c r="E144" s="44"/>
      <c r="F144" s="44"/>
      <c r="G144" s="44"/>
      <c r="H144" s="44"/>
      <c r="I144" s="44"/>
      <c r="J144" s="44"/>
      <c r="K144" s="44"/>
      <c r="L144" s="44"/>
      <c r="M144" s="44"/>
    </row>
    <row r="145" spans="1:13" x14ac:dyDescent="0.3">
      <c r="A145" s="44"/>
      <c r="B145" s="44"/>
      <c r="C145" s="44"/>
      <c r="D145" s="44"/>
      <c r="E145" s="44"/>
      <c r="F145" s="44"/>
      <c r="G145" s="44"/>
      <c r="H145" s="44"/>
      <c r="I145" s="44"/>
      <c r="J145" s="44"/>
      <c r="K145" s="44"/>
      <c r="L145" s="44"/>
      <c r="M145" s="44"/>
    </row>
    <row r="146" spans="1:13" x14ac:dyDescent="0.3">
      <c r="A146" s="44"/>
      <c r="B146" s="44"/>
      <c r="C146" s="44"/>
      <c r="D146" s="44"/>
      <c r="E146" s="44"/>
      <c r="F146" s="44"/>
      <c r="G146" s="44"/>
      <c r="H146" s="44"/>
      <c r="I146" s="44"/>
      <c r="J146" s="44"/>
      <c r="K146" s="44"/>
      <c r="L146" s="44"/>
      <c r="M146" s="44"/>
    </row>
    <row r="147" spans="1:13" x14ac:dyDescent="0.3">
      <c r="A147" s="44"/>
      <c r="B147" s="44"/>
      <c r="C147" s="44"/>
      <c r="D147" s="44"/>
      <c r="E147" s="44"/>
      <c r="F147" s="44"/>
      <c r="G147" s="44"/>
      <c r="H147" s="44"/>
      <c r="I147" s="44"/>
      <c r="J147" s="44"/>
      <c r="K147" s="44"/>
      <c r="L147" s="44"/>
      <c r="M147" s="44"/>
    </row>
    <row r="148" spans="1:13" x14ac:dyDescent="0.3">
      <c r="A148" s="44"/>
      <c r="B148" s="44"/>
      <c r="C148" s="44"/>
      <c r="D148" s="44"/>
      <c r="E148" s="44"/>
      <c r="F148" s="44"/>
      <c r="G148" s="44"/>
      <c r="H148" s="44"/>
      <c r="I148" s="44"/>
      <c r="J148" s="44"/>
      <c r="K148" s="44"/>
      <c r="L148" s="44"/>
      <c r="M148" s="44"/>
    </row>
    <row r="149" spans="1:13" x14ac:dyDescent="0.3">
      <c r="A149" s="44"/>
      <c r="B149" s="44"/>
      <c r="C149" s="44"/>
      <c r="D149" s="44"/>
      <c r="E149" s="44"/>
      <c r="F149" s="44"/>
      <c r="G149" s="44"/>
      <c r="H149" s="44"/>
      <c r="I149" s="44"/>
      <c r="J149" s="44"/>
      <c r="K149" s="44"/>
      <c r="L149" s="44"/>
      <c r="M149" s="44"/>
    </row>
    <row r="150" spans="1:13" x14ac:dyDescent="0.3">
      <c r="A150" s="44"/>
      <c r="B150" s="44"/>
      <c r="C150" s="44"/>
      <c r="D150" s="44"/>
      <c r="E150" s="44"/>
      <c r="F150" s="44"/>
      <c r="G150" s="44"/>
      <c r="H150" s="44"/>
      <c r="I150" s="44"/>
      <c r="J150" s="44"/>
      <c r="K150" s="44"/>
      <c r="L150" s="44"/>
      <c r="M150" s="44"/>
    </row>
    <row r="151" spans="1:13" x14ac:dyDescent="0.3">
      <c r="A151" s="44"/>
      <c r="B151" s="44"/>
      <c r="C151" s="44"/>
      <c r="D151" s="44"/>
      <c r="E151" s="44"/>
      <c r="F151" s="44"/>
      <c r="G151" s="44"/>
      <c r="H151" s="44"/>
      <c r="I151" s="44"/>
      <c r="J151" s="44"/>
      <c r="K151" s="44"/>
      <c r="L151" s="44"/>
      <c r="M151" s="44"/>
    </row>
    <row r="152" spans="1:13" x14ac:dyDescent="0.3">
      <c r="A152" s="44"/>
      <c r="B152" s="44"/>
      <c r="C152" s="44"/>
      <c r="D152" s="44"/>
      <c r="E152" s="44"/>
      <c r="F152" s="44"/>
      <c r="G152" s="44"/>
      <c r="H152" s="44"/>
      <c r="I152" s="44"/>
      <c r="J152" s="44"/>
      <c r="K152" s="44"/>
      <c r="L152" s="44"/>
      <c r="M152" s="44"/>
    </row>
    <row r="153" spans="1:13" x14ac:dyDescent="0.3">
      <c r="A153" s="44"/>
      <c r="B153" s="44"/>
      <c r="C153" s="44"/>
      <c r="D153" s="44"/>
      <c r="E153" s="44"/>
      <c r="F153" s="44"/>
      <c r="G153" s="44"/>
      <c r="H153" s="44"/>
      <c r="I153" s="44"/>
      <c r="J153" s="44"/>
      <c r="K153" s="44"/>
      <c r="L153" s="44"/>
      <c r="M153" s="44"/>
    </row>
    <row r="154" spans="1:13" x14ac:dyDescent="0.3">
      <c r="A154" s="44"/>
      <c r="B154" s="44"/>
      <c r="C154" s="44"/>
      <c r="D154" s="44"/>
      <c r="E154" s="44"/>
      <c r="F154" s="44"/>
      <c r="G154" s="44"/>
      <c r="H154" s="44"/>
      <c r="I154" s="44"/>
      <c r="J154" s="44"/>
      <c r="K154" s="44"/>
      <c r="L154" s="44"/>
      <c r="M154" s="44"/>
    </row>
    <row r="155" spans="1:13" x14ac:dyDescent="0.3">
      <c r="A155" s="44"/>
      <c r="B155" s="44"/>
      <c r="C155" s="44"/>
      <c r="D155" s="44"/>
      <c r="E155" s="44"/>
      <c r="F155" s="44"/>
      <c r="G155" s="44"/>
      <c r="H155" s="44"/>
      <c r="I155" s="44"/>
      <c r="J155" s="44"/>
      <c r="K155" s="44"/>
      <c r="L155" s="44"/>
      <c r="M155" s="44"/>
    </row>
    <row r="156" spans="1:13" x14ac:dyDescent="0.3">
      <c r="A156" s="44"/>
      <c r="B156" s="44"/>
      <c r="C156" s="44"/>
      <c r="D156" s="44"/>
      <c r="E156" s="44"/>
      <c r="F156" s="44"/>
      <c r="G156" s="44"/>
      <c r="H156" s="44"/>
      <c r="I156" s="44"/>
      <c r="J156" s="44"/>
      <c r="K156" s="44"/>
      <c r="L156" s="44"/>
      <c r="M156" s="44"/>
    </row>
    <row r="157" spans="1:13" x14ac:dyDescent="0.3">
      <c r="A157" s="44"/>
      <c r="B157" s="44"/>
      <c r="C157" s="44"/>
      <c r="D157" s="44"/>
      <c r="E157" s="44"/>
      <c r="F157" s="44"/>
      <c r="G157" s="44"/>
      <c r="H157" s="44"/>
      <c r="I157" s="44"/>
      <c r="J157" s="44"/>
      <c r="K157" s="44"/>
      <c r="L157" s="44"/>
      <c r="M157" s="44"/>
    </row>
    <row r="158" spans="1:13" x14ac:dyDescent="0.3">
      <c r="A158" s="44"/>
      <c r="B158" s="44"/>
      <c r="C158" s="44"/>
      <c r="D158" s="44"/>
      <c r="E158" s="44"/>
      <c r="F158" s="44"/>
      <c r="G158" s="44"/>
      <c r="H158" s="44"/>
      <c r="I158" s="44"/>
      <c r="J158" s="44"/>
      <c r="K158" s="44"/>
      <c r="L158" s="44"/>
      <c r="M158" s="44"/>
    </row>
    <row r="159" spans="1:13" x14ac:dyDescent="0.3">
      <c r="A159" s="44"/>
      <c r="B159" s="44"/>
      <c r="C159" s="44"/>
      <c r="D159" s="44"/>
      <c r="E159" s="44"/>
      <c r="F159" s="44"/>
      <c r="G159" s="44"/>
      <c r="H159" s="44"/>
      <c r="I159" s="44"/>
      <c r="J159" s="44"/>
      <c r="K159" s="44"/>
      <c r="L159" s="44"/>
      <c r="M159" s="44"/>
    </row>
    <row r="160" spans="1:13" x14ac:dyDescent="0.3">
      <c r="A160" s="44"/>
      <c r="B160" s="44"/>
      <c r="C160" s="44"/>
      <c r="D160" s="44"/>
      <c r="E160" s="44"/>
      <c r="F160" s="44"/>
      <c r="G160" s="44"/>
      <c r="H160" s="44"/>
      <c r="I160" s="44"/>
      <c r="J160" s="44"/>
      <c r="K160" s="44"/>
      <c r="L160" s="44"/>
      <c r="M160" s="44"/>
    </row>
    <row r="161" spans="1:13" x14ac:dyDescent="0.3">
      <c r="A161" s="44"/>
      <c r="B161" s="44"/>
      <c r="C161" s="44"/>
      <c r="D161" s="44"/>
      <c r="E161" s="44"/>
      <c r="F161" s="44"/>
      <c r="G161" s="44"/>
      <c r="H161" s="44"/>
      <c r="I161" s="44"/>
      <c r="J161" s="44"/>
      <c r="K161" s="44"/>
      <c r="L161" s="44"/>
      <c r="M161" s="44"/>
    </row>
    <row r="162" spans="1:13" x14ac:dyDescent="0.3">
      <c r="A162" s="44"/>
      <c r="B162" s="44"/>
      <c r="C162" s="44"/>
      <c r="D162" s="44"/>
      <c r="E162" s="44"/>
      <c r="F162" s="44"/>
      <c r="G162" s="44"/>
      <c r="H162" s="44"/>
      <c r="I162" s="44"/>
      <c r="J162" s="44"/>
      <c r="K162" s="44"/>
      <c r="L162" s="44"/>
      <c r="M162" s="44"/>
    </row>
    <row r="163" spans="1:13" x14ac:dyDescent="0.3">
      <c r="A163" s="44"/>
      <c r="B163" s="44"/>
      <c r="C163" s="44"/>
      <c r="D163" s="44"/>
      <c r="E163" s="44"/>
      <c r="F163" s="44"/>
      <c r="G163" s="44"/>
      <c r="H163" s="44"/>
      <c r="I163" s="44"/>
      <c r="J163" s="44"/>
      <c r="K163" s="44"/>
      <c r="L163" s="44"/>
      <c r="M163" s="44"/>
    </row>
    <row r="164" spans="1:13" x14ac:dyDescent="0.3">
      <c r="A164" s="44"/>
      <c r="B164" s="44"/>
      <c r="C164" s="44"/>
      <c r="D164" s="44"/>
      <c r="E164" s="44"/>
      <c r="F164" s="44"/>
      <c r="G164" s="44"/>
      <c r="H164" s="44"/>
      <c r="I164" s="44"/>
      <c r="J164" s="44"/>
      <c r="K164" s="44"/>
      <c r="L164" s="44"/>
      <c r="M164" s="44"/>
    </row>
    <row r="165" spans="1:13" x14ac:dyDescent="0.3">
      <c r="A165" s="44"/>
      <c r="B165" s="44"/>
      <c r="C165" s="44"/>
      <c r="D165" s="44"/>
      <c r="E165" s="44"/>
      <c r="F165" s="44"/>
      <c r="G165" s="44"/>
      <c r="H165" s="44"/>
      <c r="I165" s="44"/>
      <c r="J165" s="44"/>
      <c r="K165" s="44"/>
      <c r="L165" s="44"/>
      <c r="M165" s="44"/>
    </row>
    <row r="166" spans="1:13" x14ac:dyDescent="0.3">
      <c r="A166" s="44"/>
      <c r="B166" s="44"/>
      <c r="C166" s="44"/>
      <c r="D166" s="44"/>
      <c r="E166" s="44"/>
      <c r="F166" s="44"/>
      <c r="G166" s="44"/>
      <c r="H166" s="44"/>
      <c r="I166" s="44"/>
      <c r="J166" s="44"/>
      <c r="K166" s="44"/>
      <c r="L166" s="44"/>
      <c r="M166" s="44"/>
    </row>
    <row r="167" spans="1:13" x14ac:dyDescent="0.3">
      <c r="A167" s="44"/>
      <c r="B167" s="44"/>
      <c r="C167" s="44"/>
      <c r="D167" s="44"/>
      <c r="E167" s="44"/>
      <c r="F167" s="44"/>
      <c r="G167" s="44"/>
      <c r="H167" s="44"/>
      <c r="I167" s="44"/>
      <c r="J167" s="44"/>
      <c r="K167" s="44"/>
      <c r="L167" s="44"/>
      <c r="M167" s="44"/>
    </row>
    <row r="168" spans="1:13" x14ac:dyDescent="0.3">
      <c r="A168" s="44"/>
      <c r="B168" s="44"/>
      <c r="C168" s="44"/>
      <c r="D168" s="44"/>
      <c r="E168" s="44"/>
      <c r="F168" s="44"/>
      <c r="G168" s="44"/>
      <c r="H168" s="44"/>
      <c r="I168" s="44"/>
      <c r="J168" s="44"/>
      <c r="K168" s="44"/>
      <c r="L168" s="44"/>
      <c r="M168" s="44"/>
    </row>
    <row r="169" spans="1:13" x14ac:dyDescent="0.3">
      <c r="A169" s="44"/>
      <c r="B169" s="44"/>
      <c r="C169" s="44"/>
      <c r="D169" s="44"/>
      <c r="E169" s="44"/>
      <c r="F169" s="44"/>
      <c r="G169" s="44"/>
      <c r="H169" s="44"/>
      <c r="I169" s="44"/>
      <c r="J169" s="44"/>
      <c r="K169" s="44"/>
      <c r="L169" s="44"/>
      <c r="M169" s="44"/>
    </row>
    <row r="170" spans="1:13" x14ac:dyDescent="0.3">
      <c r="A170" s="44"/>
      <c r="B170" s="44"/>
      <c r="C170" s="44"/>
      <c r="D170" s="44"/>
      <c r="E170" s="44"/>
      <c r="F170" s="44"/>
      <c r="G170" s="44"/>
      <c r="H170" s="44"/>
      <c r="I170" s="44"/>
      <c r="J170" s="44"/>
      <c r="K170" s="44"/>
      <c r="L170" s="44"/>
      <c r="M170" s="44"/>
    </row>
    <row r="171" spans="1:13" x14ac:dyDescent="0.3">
      <c r="A171" s="44"/>
      <c r="B171" s="44"/>
      <c r="C171" s="44"/>
      <c r="D171" s="44"/>
      <c r="E171" s="44"/>
      <c r="F171" s="44"/>
      <c r="G171" s="44"/>
      <c r="H171" s="44"/>
      <c r="I171" s="44"/>
      <c r="J171" s="44"/>
      <c r="K171" s="44"/>
      <c r="L171" s="44"/>
      <c r="M171" s="44"/>
    </row>
    <row r="172" spans="1:13" x14ac:dyDescent="0.3">
      <c r="A172" s="44"/>
      <c r="B172" s="44"/>
      <c r="C172" s="44"/>
      <c r="D172" s="44"/>
      <c r="E172" s="44"/>
      <c r="F172" s="44"/>
      <c r="G172" s="44"/>
      <c r="H172" s="44"/>
      <c r="I172" s="44"/>
      <c r="J172" s="44"/>
      <c r="K172" s="44"/>
      <c r="L172" s="44"/>
      <c r="M172" s="44"/>
    </row>
    <row r="173" spans="1:13" x14ac:dyDescent="0.3">
      <c r="A173" s="44"/>
      <c r="B173" s="44"/>
      <c r="C173" s="44"/>
      <c r="D173" s="44"/>
      <c r="E173" s="44"/>
      <c r="F173" s="44"/>
      <c r="G173" s="44"/>
      <c r="H173" s="44"/>
      <c r="I173" s="44"/>
      <c r="J173" s="44"/>
      <c r="K173" s="44"/>
      <c r="L173" s="44"/>
      <c r="M173" s="44"/>
    </row>
    <row r="174" spans="1:13" x14ac:dyDescent="0.3">
      <c r="A174" s="44"/>
      <c r="B174" s="44"/>
      <c r="C174" s="44"/>
      <c r="D174" s="44"/>
      <c r="E174" s="44"/>
      <c r="F174" s="44"/>
      <c r="G174" s="44"/>
      <c r="H174" s="44"/>
      <c r="I174" s="44"/>
      <c r="J174" s="44"/>
      <c r="K174" s="44"/>
      <c r="L174" s="44"/>
      <c r="M174" s="44"/>
    </row>
    <row r="175" spans="1:13" x14ac:dyDescent="0.3">
      <c r="A175" s="44"/>
      <c r="B175" s="44"/>
      <c r="C175" s="44"/>
      <c r="D175" s="44"/>
      <c r="E175" s="44"/>
      <c r="F175" s="44"/>
      <c r="G175" s="44"/>
      <c r="H175" s="44"/>
      <c r="I175" s="44"/>
      <c r="J175" s="44"/>
      <c r="K175" s="44"/>
      <c r="L175" s="44"/>
      <c r="M175" s="44"/>
    </row>
    <row r="176" spans="1:13" x14ac:dyDescent="0.3">
      <c r="A176" s="44"/>
      <c r="B176" s="44"/>
      <c r="C176" s="44"/>
      <c r="D176" s="44"/>
      <c r="E176" s="44"/>
      <c r="F176" s="44"/>
      <c r="G176" s="44"/>
      <c r="H176" s="44"/>
      <c r="I176" s="44"/>
      <c r="J176" s="44"/>
      <c r="K176" s="44"/>
      <c r="L176" s="44"/>
      <c r="M176" s="44"/>
    </row>
    <row r="177" spans="1:13" x14ac:dyDescent="0.3">
      <c r="A177" s="44"/>
      <c r="B177" s="44"/>
      <c r="C177" s="44"/>
      <c r="D177" s="44"/>
      <c r="E177" s="44"/>
      <c r="F177" s="44"/>
      <c r="G177" s="44"/>
      <c r="H177" s="44"/>
      <c r="I177" s="44"/>
      <c r="J177" s="44"/>
      <c r="K177" s="44"/>
      <c r="L177" s="44"/>
      <c r="M177" s="44"/>
    </row>
    <row r="178" spans="1:13" x14ac:dyDescent="0.3">
      <c r="A178" s="44"/>
      <c r="B178" s="44"/>
      <c r="C178" s="44"/>
      <c r="D178" s="44"/>
      <c r="E178" s="44"/>
      <c r="F178" s="44"/>
      <c r="G178" s="44"/>
      <c r="H178" s="44"/>
      <c r="I178" s="44"/>
      <c r="J178" s="44"/>
      <c r="K178" s="44"/>
      <c r="L178" s="44"/>
      <c r="M178" s="44"/>
    </row>
    <row r="179" spans="1:13" x14ac:dyDescent="0.3">
      <c r="A179" s="44"/>
      <c r="B179" s="44"/>
      <c r="C179" s="44"/>
      <c r="D179" s="44"/>
      <c r="E179" s="44"/>
      <c r="F179" s="44"/>
      <c r="G179" s="44"/>
      <c r="H179" s="44"/>
      <c r="I179" s="44"/>
      <c r="J179" s="44"/>
      <c r="K179" s="44"/>
      <c r="L179" s="44"/>
      <c r="M179" s="44"/>
    </row>
    <row r="180" spans="1:13" x14ac:dyDescent="0.3">
      <c r="A180" s="44"/>
      <c r="B180" s="44"/>
      <c r="C180" s="44"/>
      <c r="D180" s="44"/>
      <c r="E180" s="44"/>
      <c r="F180" s="44"/>
      <c r="G180" s="44"/>
      <c r="H180" s="44"/>
      <c r="I180" s="44"/>
      <c r="J180" s="44"/>
      <c r="K180" s="44"/>
      <c r="L180" s="44"/>
      <c r="M180" s="44"/>
    </row>
    <row r="181" spans="1:13" x14ac:dyDescent="0.3">
      <c r="A181" s="44"/>
      <c r="B181" s="44"/>
      <c r="C181" s="44"/>
      <c r="D181" s="44"/>
      <c r="E181" s="44"/>
      <c r="F181" s="44"/>
      <c r="G181" s="44"/>
      <c r="H181" s="44"/>
      <c r="I181" s="44"/>
      <c r="J181" s="44"/>
      <c r="K181" s="44"/>
      <c r="L181" s="44"/>
      <c r="M181" s="44"/>
    </row>
    <row r="182" spans="1:13" x14ac:dyDescent="0.3">
      <c r="A182" s="44"/>
      <c r="B182" s="44"/>
      <c r="C182" s="44"/>
      <c r="D182" s="44"/>
      <c r="E182" s="44"/>
      <c r="F182" s="44"/>
      <c r="G182" s="44"/>
      <c r="H182" s="44"/>
      <c r="I182" s="44"/>
      <c r="J182" s="44"/>
      <c r="K182" s="44"/>
      <c r="L182" s="44"/>
      <c r="M182" s="44"/>
    </row>
    <row r="183" spans="1:13" x14ac:dyDescent="0.3">
      <c r="A183" s="44"/>
      <c r="B183" s="44"/>
      <c r="C183" s="44"/>
      <c r="D183" s="44"/>
      <c r="E183" s="44"/>
      <c r="F183" s="44"/>
      <c r="G183" s="44"/>
      <c r="H183" s="44"/>
      <c r="I183" s="44"/>
      <c r="J183" s="44"/>
      <c r="K183" s="44"/>
      <c r="L183" s="44"/>
      <c r="M183" s="44"/>
    </row>
    <row r="184" spans="1:13" x14ac:dyDescent="0.3">
      <c r="A184" s="44"/>
      <c r="B184" s="44"/>
      <c r="C184" s="44"/>
      <c r="D184" s="44"/>
      <c r="E184" s="44"/>
      <c r="F184" s="44"/>
      <c r="G184" s="44"/>
      <c r="H184" s="44"/>
      <c r="I184" s="44"/>
      <c r="J184" s="44"/>
      <c r="K184" s="44"/>
      <c r="L184" s="44"/>
      <c r="M184" s="44"/>
    </row>
    <row r="185" spans="1:13" x14ac:dyDescent="0.3">
      <c r="A185" s="44"/>
      <c r="B185" s="44"/>
      <c r="C185" s="44"/>
      <c r="D185" s="44"/>
      <c r="E185" s="44"/>
      <c r="F185" s="44"/>
      <c r="G185" s="44"/>
      <c r="H185" s="44"/>
      <c r="I185" s="44"/>
      <c r="J185" s="44"/>
      <c r="K185" s="44"/>
      <c r="L185" s="44"/>
      <c r="M185" s="44"/>
    </row>
    <row r="186" spans="1:13" x14ac:dyDescent="0.3">
      <c r="A186" s="44"/>
      <c r="B186" s="44"/>
      <c r="C186" s="44"/>
      <c r="D186" s="44"/>
      <c r="E186" s="44"/>
      <c r="F186" s="44"/>
      <c r="G186" s="44"/>
      <c r="H186" s="44"/>
      <c r="I186" s="44"/>
      <c r="J186" s="44"/>
      <c r="K186" s="44"/>
      <c r="L186" s="44"/>
      <c r="M186" s="44"/>
    </row>
    <row r="187" spans="1:13" x14ac:dyDescent="0.3">
      <c r="A187" s="44"/>
      <c r="B187" s="44"/>
      <c r="C187" s="44"/>
      <c r="D187" s="44"/>
      <c r="E187" s="44"/>
      <c r="F187" s="44"/>
      <c r="G187" s="44"/>
      <c r="H187" s="44"/>
      <c r="I187" s="44"/>
      <c r="J187" s="44"/>
      <c r="K187" s="44"/>
      <c r="L187" s="44"/>
      <c r="M187" s="44"/>
    </row>
    <row r="188" spans="1:13" x14ac:dyDescent="0.3">
      <c r="A188" s="44"/>
      <c r="B188" s="44"/>
      <c r="C188" s="44"/>
      <c r="D188" s="44"/>
      <c r="E188" s="44"/>
      <c r="F188" s="44"/>
      <c r="G188" s="44"/>
      <c r="H188" s="44"/>
      <c r="I188" s="44"/>
      <c r="J188" s="44"/>
      <c r="K188" s="44"/>
      <c r="L188" s="44"/>
      <c r="M188" s="44"/>
    </row>
    <row r="189" spans="1:13" x14ac:dyDescent="0.3">
      <c r="A189" s="44"/>
      <c r="B189" s="44"/>
      <c r="C189" s="44"/>
      <c r="D189" s="44"/>
      <c r="E189" s="44"/>
      <c r="F189" s="44"/>
      <c r="G189" s="44"/>
      <c r="H189" s="44"/>
      <c r="I189" s="44"/>
      <c r="J189" s="44"/>
      <c r="K189" s="44"/>
      <c r="L189" s="44"/>
      <c r="M189" s="44"/>
    </row>
    <row r="190" spans="1:13" x14ac:dyDescent="0.3">
      <c r="A190" s="44"/>
      <c r="B190" s="44"/>
      <c r="C190" s="44"/>
      <c r="D190" s="44"/>
      <c r="E190" s="44"/>
      <c r="F190" s="44"/>
      <c r="G190" s="44"/>
      <c r="H190" s="44"/>
      <c r="I190" s="44"/>
      <c r="J190" s="44"/>
      <c r="K190" s="44"/>
      <c r="L190" s="44"/>
      <c r="M190" s="44"/>
    </row>
    <row r="191" spans="1:13" x14ac:dyDescent="0.3">
      <c r="A191" s="44"/>
      <c r="B191" s="44"/>
      <c r="C191" s="44"/>
      <c r="D191" s="44"/>
      <c r="E191" s="44"/>
      <c r="F191" s="44"/>
      <c r="G191" s="44"/>
      <c r="H191" s="44"/>
      <c r="I191" s="44"/>
      <c r="J191" s="44"/>
      <c r="K191" s="44"/>
      <c r="L191" s="44"/>
      <c r="M191" s="44"/>
    </row>
    <row r="192" spans="1:13" x14ac:dyDescent="0.3">
      <c r="A192" s="44"/>
      <c r="B192" s="44"/>
      <c r="C192" s="44"/>
      <c r="D192" s="44"/>
      <c r="E192" s="44"/>
      <c r="F192" s="44"/>
      <c r="G192" s="44"/>
      <c r="H192" s="44"/>
      <c r="I192" s="44"/>
      <c r="J192" s="44"/>
      <c r="K192" s="44"/>
      <c r="L192" s="44"/>
      <c r="M192" s="44"/>
    </row>
    <row r="193" spans="1:13" x14ac:dyDescent="0.3">
      <c r="A193" s="44"/>
      <c r="B193" s="44"/>
      <c r="C193" s="44"/>
      <c r="D193" s="44"/>
      <c r="E193" s="44"/>
      <c r="F193" s="44"/>
      <c r="G193" s="44"/>
      <c r="H193" s="44"/>
      <c r="I193" s="44"/>
      <c r="J193" s="44"/>
      <c r="K193" s="44"/>
      <c r="L193" s="44"/>
      <c r="M193" s="44"/>
    </row>
    <row r="194" spans="1:13" x14ac:dyDescent="0.3">
      <c r="A194" s="44"/>
      <c r="B194" s="44"/>
      <c r="C194" s="44"/>
      <c r="D194" s="44"/>
      <c r="E194" s="44"/>
      <c r="F194" s="44"/>
      <c r="G194" s="44"/>
      <c r="H194" s="44"/>
      <c r="I194" s="44"/>
      <c r="J194" s="44"/>
      <c r="K194" s="44"/>
      <c r="L194" s="44"/>
      <c r="M194" s="44"/>
    </row>
    <row r="195" spans="1:13" x14ac:dyDescent="0.3">
      <c r="A195" s="44"/>
      <c r="B195" s="44"/>
      <c r="C195" s="44"/>
      <c r="D195" s="44"/>
      <c r="E195" s="44"/>
      <c r="F195" s="44"/>
      <c r="G195" s="44"/>
      <c r="H195" s="44"/>
      <c r="I195" s="44"/>
      <c r="J195" s="44"/>
      <c r="K195" s="44"/>
      <c r="L195" s="44"/>
      <c r="M195" s="44"/>
    </row>
    <row r="196" spans="1:13" x14ac:dyDescent="0.3">
      <c r="A196" s="44"/>
      <c r="B196" s="44"/>
      <c r="C196" s="44"/>
      <c r="D196" s="44"/>
      <c r="E196" s="44"/>
      <c r="F196" s="44"/>
      <c r="G196" s="44"/>
      <c r="H196" s="44"/>
      <c r="I196" s="44"/>
      <c r="J196" s="44"/>
      <c r="K196" s="44"/>
      <c r="L196" s="44"/>
      <c r="M196" s="44"/>
    </row>
    <row r="197" spans="1:13" x14ac:dyDescent="0.3">
      <c r="A197" s="44"/>
      <c r="B197" s="44"/>
      <c r="C197" s="44"/>
      <c r="D197" s="44"/>
      <c r="E197" s="44"/>
      <c r="F197" s="44"/>
      <c r="G197" s="44"/>
      <c r="H197" s="44"/>
      <c r="I197" s="44"/>
      <c r="J197" s="44"/>
      <c r="K197" s="44"/>
      <c r="L197" s="44"/>
      <c r="M197" s="44"/>
    </row>
    <row r="198" spans="1:13" x14ac:dyDescent="0.3">
      <c r="A198" s="44"/>
      <c r="B198" s="44"/>
      <c r="C198" s="44"/>
      <c r="D198" s="44"/>
      <c r="E198" s="44"/>
      <c r="F198" s="44"/>
      <c r="G198" s="44"/>
      <c r="H198" s="44"/>
      <c r="I198" s="44"/>
      <c r="J198" s="44"/>
      <c r="K198" s="44"/>
      <c r="L198" s="44"/>
      <c r="M198" s="44"/>
    </row>
    <row r="199" spans="1:13" x14ac:dyDescent="0.3">
      <c r="A199" s="44"/>
      <c r="B199" s="44"/>
      <c r="C199" s="44"/>
      <c r="D199" s="44"/>
      <c r="E199" s="44"/>
      <c r="F199" s="44"/>
      <c r="G199" s="44"/>
      <c r="H199" s="44"/>
      <c r="I199" s="44"/>
      <c r="J199" s="44"/>
      <c r="K199" s="44"/>
      <c r="L199" s="44"/>
      <c r="M199" s="44"/>
    </row>
    <row r="200" spans="1:13" x14ac:dyDescent="0.3">
      <c r="A200" s="44"/>
      <c r="B200" s="44"/>
      <c r="C200" s="44"/>
      <c r="D200" s="44"/>
      <c r="E200" s="44"/>
      <c r="F200" s="44"/>
      <c r="G200" s="44"/>
      <c r="H200" s="44"/>
      <c r="I200" s="44"/>
      <c r="J200" s="44"/>
      <c r="K200" s="44"/>
      <c r="L200" s="44"/>
      <c r="M200" s="44"/>
    </row>
    <row r="201" spans="1:13" x14ac:dyDescent="0.3">
      <c r="A201" s="44"/>
      <c r="B201" s="44"/>
      <c r="C201" s="44"/>
      <c r="D201" s="44"/>
      <c r="E201" s="44"/>
      <c r="F201" s="44"/>
      <c r="G201" s="44"/>
      <c r="H201" s="44"/>
      <c r="I201" s="44"/>
      <c r="J201" s="44"/>
      <c r="K201" s="44"/>
      <c r="L201" s="44"/>
      <c r="M201" s="44"/>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F3D20-1FF3-4386-B40B-3429F2084FFE}">
  <sheetPr codeName="Sheet4"/>
  <dimension ref="A1:F21"/>
  <sheetViews>
    <sheetView workbookViewId="0"/>
  </sheetViews>
  <sheetFormatPr defaultRowHeight="14.4" x14ac:dyDescent="0.3"/>
  <cols>
    <col min="1" max="1" width="21.6640625" style="40" bestFit="1" customWidth="1"/>
    <col min="2" max="2" width="16.109375" style="40" bestFit="1" customWidth="1"/>
    <col min="3" max="3" width="8.88671875" style="40"/>
    <col min="4" max="4" width="12.5546875" style="40" bestFit="1" customWidth="1"/>
    <col min="5" max="5" width="15.33203125" style="40" bestFit="1" customWidth="1"/>
    <col min="6" max="16384" width="8.88671875" style="40"/>
  </cols>
  <sheetData>
    <row r="1" spans="1:6" ht="19.8" x14ac:dyDescent="0.4">
      <c r="A1" s="40" t="s">
        <v>29</v>
      </c>
      <c r="B1" s="40" t="s">
        <v>77</v>
      </c>
      <c r="D1" s="66" t="s">
        <v>99</v>
      </c>
      <c r="E1" s="66"/>
      <c r="F1" s="66"/>
    </row>
    <row r="3" spans="1:6" x14ac:dyDescent="0.3">
      <c r="A3" s="40" t="s">
        <v>75</v>
      </c>
      <c r="B3" s="40" t="s">
        <v>76</v>
      </c>
      <c r="D3" s="40" t="s">
        <v>75</v>
      </c>
      <c r="E3" s="40" t="s">
        <v>76</v>
      </c>
    </row>
    <row r="4" spans="1:6" x14ac:dyDescent="0.3">
      <c r="A4" s="48" t="s">
        <v>69</v>
      </c>
      <c r="B4" s="49">
        <v>1898.9999999999998</v>
      </c>
      <c r="D4" s="48" t="s">
        <v>47</v>
      </c>
      <c r="E4" s="49">
        <v>8371.5</v>
      </c>
    </row>
    <row r="5" spans="1:6" x14ac:dyDescent="0.3">
      <c r="A5" s="48" t="s">
        <v>57</v>
      </c>
      <c r="B5" s="49">
        <v>1499.3999999999999</v>
      </c>
      <c r="D5" s="48" t="s">
        <v>38</v>
      </c>
      <c r="E5" s="49">
        <v>6403.1</v>
      </c>
    </row>
    <row r="6" spans="1:6" x14ac:dyDescent="0.3">
      <c r="A6" s="48" t="s">
        <v>48</v>
      </c>
      <c r="B6" s="49">
        <v>1948.5</v>
      </c>
      <c r="D6" s="48" t="s">
        <v>43</v>
      </c>
      <c r="E6" s="49">
        <v>7279.15</v>
      </c>
    </row>
    <row r="7" spans="1:6" x14ac:dyDescent="0.3">
      <c r="A7" s="48" t="s">
        <v>53</v>
      </c>
      <c r="B7" s="49">
        <v>1497</v>
      </c>
      <c r="D7" s="48" t="s">
        <v>41</v>
      </c>
      <c r="E7" s="49">
        <v>4941.5999999999995</v>
      </c>
    </row>
    <row r="8" spans="1:6" x14ac:dyDescent="0.3">
      <c r="A8" s="48" t="s">
        <v>39</v>
      </c>
      <c r="B8" s="49">
        <v>1199.2</v>
      </c>
    </row>
    <row r="9" spans="1:6" x14ac:dyDescent="0.3">
      <c r="A9" s="48" t="s">
        <v>55</v>
      </c>
      <c r="B9" s="49">
        <v>934.15</v>
      </c>
    </row>
    <row r="10" spans="1:6" x14ac:dyDescent="0.3">
      <c r="A10" s="48" t="s">
        <v>66</v>
      </c>
      <c r="B10" s="49">
        <v>2185.75</v>
      </c>
    </row>
    <row r="11" spans="1:6" x14ac:dyDescent="0.3">
      <c r="A11" s="48" t="s">
        <v>49</v>
      </c>
      <c r="B11" s="49">
        <v>988.9</v>
      </c>
    </row>
    <row r="12" spans="1:6" x14ac:dyDescent="0.3">
      <c r="A12" s="48" t="s">
        <v>44</v>
      </c>
      <c r="B12" s="49">
        <v>1398</v>
      </c>
    </row>
    <row r="13" spans="1:6" x14ac:dyDescent="0.3">
      <c r="A13" s="48" t="s">
        <v>50</v>
      </c>
      <c r="B13" s="49">
        <v>1079.0999999999999</v>
      </c>
    </row>
    <row r="14" spans="1:6" x14ac:dyDescent="0.3">
      <c r="A14" s="48" t="s">
        <v>58</v>
      </c>
      <c r="B14" s="49">
        <v>1198</v>
      </c>
    </row>
    <row r="15" spans="1:6" x14ac:dyDescent="0.3">
      <c r="A15" s="48" t="s">
        <v>56</v>
      </c>
      <c r="B15" s="49">
        <v>1119.3</v>
      </c>
    </row>
    <row r="16" spans="1:6" x14ac:dyDescent="0.3">
      <c r="A16" s="48" t="s">
        <v>68</v>
      </c>
      <c r="B16" s="49">
        <v>1819.35</v>
      </c>
    </row>
    <row r="17" spans="1:2" x14ac:dyDescent="0.3">
      <c r="A17" s="48" t="s">
        <v>65</v>
      </c>
      <c r="B17" s="49">
        <v>1574.5500000000002</v>
      </c>
    </row>
    <row r="18" spans="1:2" x14ac:dyDescent="0.3">
      <c r="A18" s="48" t="s">
        <v>45</v>
      </c>
      <c r="B18" s="49">
        <v>1899.05</v>
      </c>
    </row>
    <row r="19" spans="1:2" x14ac:dyDescent="0.3">
      <c r="A19" s="48" t="s">
        <v>67</v>
      </c>
      <c r="B19" s="49">
        <v>1259.0999999999999</v>
      </c>
    </row>
    <row r="20" spans="1:2" x14ac:dyDescent="0.3">
      <c r="A20" s="48" t="s">
        <v>62</v>
      </c>
      <c r="B20" s="49">
        <v>1499.5</v>
      </c>
    </row>
    <row r="21" spans="1:2" x14ac:dyDescent="0.3">
      <c r="A21" s="48" t="s">
        <v>63</v>
      </c>
      <c r="B21" s="49">
        <v>1997.5</v>
      </c>
    </row>
  </sheetData>
  <mergeCells count="1">
    <mergeCell ref="D1:F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EA5B65-311E-45BD-9350-3A7E76FC56A6}">
  <sheetPr codeName="Sheet5"/>
  <dimension ref="A1:C10"/>
  <sheetViews>
    <sheetView zoomScale="160" zoomScaleNormal="160" workbookViewId="0">
      <selection sqref="A1:C1"/>
    </sheetView>
  </sheetViews>
  <sheetFormatPr defaultColWidth="20.77734375" defaultRowHeight="14.4" x14ac:dyDescent="0.3"/>
  <cols>
    <col min="1" max="16384" width="20.77734375" style="40"/>
  </cols>
  <sheetData>
    <row r="1" spans="1:3" ht="20.399999999999999" thickBot="1" x14ac:dyDescent="0.45">
      <c r="A1" s="64" t="s">
        <v>96</v>
      </c>
      <c r="B1" s="64"/>
      <c r="C1" s="64"/>
    </row>
    <row r="2" spans="1:3" ht="15" thickTop="1" x14ac:dyDescent="0.3"/>
    <row r="3" spans="1:3" x14ac:dyDescent="0.3">
      <c r="A3" s="42" t="s">
        <v>90</v>
      </c>
      <c r="B3" s="42">
        <v>1200</v>
      </c>
    </row>
    <row r="4" spans="1:3" x14ac:dyDescent="0.3">
      <c r="A4" s="42" t="s">
        <v>91</v>
      </c>
      <c r="B4" s="42">
        <v>40</v>
      </c>
    </row>
    <row r="5" spans="1:3" x14ac:dyDescent="0.3">
      <c r="A5" s="42" t="s">
        <v>33</v>
      </c>
      <c r="B5" s="42">
        <v>25</v>
      </c>
    </row>
    <row r="6" spans="1:3" x14ac:dyDescent="0.3">
      <c r="A6" s="42" t="s">
        <v>92</v>
      </c>
      <c r="B6" s="42">
        <v>10000</v>
      </c>
    </row>
    <row r="7" spans="1:3" x14ac:dyDescent="0.3">
      <c r="A7" s="42" t="s">
        <v>73</v>
      </c>
      <c r="B7" s="42">
        <f>(B4 - B5) * B3</f>
        <v>18000</v>
      </c>
    </row>
    <row r="8" spans="1:3" x14ac:dyDescent="0.3">
      <c r="A8" s="42" t="s">
        <v>93</v>
      </c>
      <c r="B8" s="42">
        <v>1200</v>
      </c>
    </row>
    <row r="9" spans="1:3" x14ac:dyDescent="0.3">
      <c r="A9" s="42" t="s">
        <v>94</v>
      </c>
      <c r="B9" s="47">
        <v>20000</v>
      </c>
    </row>
    <row r="10" spans="1:3" x14ac:dyDescent="0.3">
      <c r="A10" s="42" t="s">
        <v>95</v>
      </c>
      <c r="B10" s="42">
        <f>B3*B4</f>
        <v>48000</v>
      </c>
    </row>
  </sheetData>
  <mergeCells count="1">
    <mergeCell ref="A1:C1"/>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52406-2CEA-4E44-8283-BEB489F02646}">
  <sheetPr codeName="Sheet6"/>
  <dimension ref="A1:D8"/>
  <sheetViews>
    <sheetView zoomScale="145" zoomScaleNormal="145" workbookViewId="0">
      <selection sqref="A1:C1"/>
    </sheetView>
  </sheetViews>
  <sheetFormatPr defaultColWidth="10.77734375" defaultRowHeight="14.4" x14ac:dyDescent="0.3"/>
  <cols>
    <col min="1" max="16384" width="10.77734375" style="40"/>
  </cols>
  <sheetData>
    <row r="1" spans="1:4" ht="19.8" x14ac:dyDescent="0.4">
      <c r="A1" s="66" t="s">
        <v>24</v>
      </c>
      <c r="B1" s="66"/>
      <c r="C1" s="66"/>
    </row>
    <row r="3" spans="1:4" x14ac:dyDescent="0.3">
      <c r="A3" s="40" t="s">
        <v>97</v>
      </c>
    </row>
    <row r="4" spans="1:4" x14ac:dyDescent="0.3">
      <c r="D4" s="40" t="b">
        <v>0</v>
      </c>
    </row>
    <row r="8" spans="1:4" x14ac:dyDescent="0.3">
      <c r="A8" s="40" t="s">
        <v>98</v>
      </c>
    </row>
  </sheetData>
  <mergeCells count="1">
    <mergeCell ref="A1:C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Check Box 1">
              <controlPr defaultSize="0" autoFill="0" autoLine="0" autoPict="0" macro="[0]!ToggleFormattedReport">
                <anchor moveWithCells="1">
                  <from>
                    <xdr:col>0</xdr:col>
                    <xdr:colOff>76200</xdr:colOff>
                    <xdr:row>3</xdr:row>
                    <xdr:rowOff>68580</xdr:rowOff>
                  </from>
                  <to>
                    <xdr:col>1</xdr:col>
                    <xdr:colOff>670560</xdr:colOff>
                    <xdr:row>4</xdr:row>
                    <xdr:rowOff>106680</xdr:rowOff>
                  </to>
                </anchor>
              </controlPr>
            </control>
          </mc:Choice>
        </mc:AlternateContent>
        <mc:AlternateContent xmlns:mc="http://schemas.openxmlformats.org/markup-compatibility/2006">
          <mc:Choice Requires="x14">
            <control shapeId="6147" r:id="rId4" name="Button 3">
              <controlPr defaultSize="0" print="0" autoFill="0" autoPict="0" macro="[0]!InventoryAlert">
                <anchor moveWithCells="1" sizeWithCells="1">
                  <from>
                    <xdr:col>0</xdr:col>
                    <xdr:colOff>38100</xdr:colOff>
                    <xdr:row>8</xdr:row>
                    <xdr:rowOff>45720</xdr:rowOff>
                  </from>
                  <to>
                    <xdr:col>0</xdr:col>
                    <xdr:colOff>1348740</xdr:colOff>
                    <xdr:row>9</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Sales Data</vt:lpstr>
      <vt:lpstr>Dashboard</vt:lpstr>
      <vt:lpstr>Data Prep Sheet</vt:lpstr>
      <vt:lpstr>Pivot Analysis</vt:lpstr>
      <vt:lpstr>Optimization</vt:lpstr>
      <vt:lpstr>Automation Controls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Vishal Vaid</dc:creator>
  <cp:lastModifiedBy>Vishal Vaid</cp:lastModifiedBy>
  <dcterms:created xsi:type="dcterms:W3CDTF">2015-06-05T18:17:20Z</dcterms:created>
  <dcterms:modified xsi:type="dcterms:W3CDTF">2026-01-08T05:33:03Z</dcterms:modified>
</cp:coreProperties>
</file>